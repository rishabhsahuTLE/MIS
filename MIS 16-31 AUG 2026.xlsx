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30DA84B9-AAD9-4377-AEA4-042393ACC704}" xr6:coauthVersionLast="47" xr6:coauthVersionMax="47" xr10:uidLastSave="{00000000-0000-0000-0000-000000000000}"/>
  <bookViews>
    <workbookView xWindow="-108" yWindow="-108" windowWidth="23256" windowHeight="13176" xr2:uid="{F66F6296-EDB0-451E-9809-A629F3E7D8DE}"/>
  </bookViews>
  <sheets>
    <sheet name="DOMESTIC DEBIT" sheetId="1" r:id="rId1"/>
    <sheet name="MISCELLANEOUS DEBIT" sheetId="2" r:id="rId2"/>
    <sheet name="RAIL DEBIT" sheetId="4" r:id="rId3"/>
    <sheet name="BUS DEBIT" sheetId="5" r:id="rId4"/>
    <sheet name="HOTEL DEBIT" sheetId="6" r:id="rId5"/>
    <sheet name="Sheet1" sheetId="15" r:id="rId6"/>
    <sheet name="Working" sheetId="14" r:id="rId7"/>
    <sheet name="DOMESTIC CREDIT" sheetId="9" r:id="rId8"/>
    <sheet name="RAIL CREDIT" sheetId="11" r:id="rId9"/>
    <sheet name="HOTEL CREDIT" sheetId="13" r:id="rId10"/>
  </sheets>
  <definedNames>
    <definedName name="_xlnm._FilterDatabase" localSheetId="3" hidden="1">'BUS DEBIT'!$A$3:$AS$5</definedName>
    <definedName name="_xlnm._FilterDatabase" localSheetId="7" hidden="1">'DOMESTIC CREDIT'!$A$3:$CB$15</definedName>
    <definedName name="_xlnm._FilterDatabase" localSheetId="0" hidden="1">'DOMESTIC DEBIT'!$A$3:$CM$55</definedName>
    <definedName name="_xlnm._FilterDatabase" localSheetId="4" hidden="1">'HOTEL DEBIT'!$A$3:$BS$29</definedName>
    <definedName name="_xlnm._FilterDatabase" localSheetId="1" hidden="1">'MISCELLANEOUS DEBIT'!$A$3:$CN$7</definedName>
    <definedName name="_xlnm._FilterDatabase" localSheetId="2" hidden="1">'RAIL DEBIT'!$A$3:$BN$18</definedName>
    <definedName name="_xlnm._FilterDatabase" localSheetId="5" hidden="1">Sheet1!$A$1:$I$93</definedName>
    <definedName name="_xlnm._FilterDatabase" localSheetId="6" hidden="1">Working!$A$1:$S$107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14" i="15" l="1"/>
  <c r="K113" i="15"/>
  <c r="K112" i="15"/>
  <c r="K111" i="15"/>
  <c r="K110" i="15"/>
  <c r="K109" i="15"/>
  <c r="K108" i="15"/>
  <c r="K107" i="15"/>
  <c r="K106" i="15"/>
  <c r="K105" i="15"/>
  <c r="K104" i="15"/>
  <c r="K103" i="15"/>
  <c r="K102" i="15"/>
  <c r="K101" i="15"/>
  <c r="I115" i="15"/>
  <c r="I94" i="15"/>
  <c r="M106" i="14"/>
  <c r="N106" i="14"/>
  <c r="Q106" i="14"/>
  <c r="R106" i="14" s="1"/>
  <c r="M107" i="14"/>
  <c r="N107" i="14"/>
  <c r="Q107" i="14"/>
  <c r="R107" i="14" s="1"/>
  <c r="M105" i="14"/>
  <c r="N105" i="14"/>
  <c r="Q105" i="14"/>
  <c r="R105" i="14" s="1"/>
  <c r="M95" i="14"/>
  <c r="N95" i="14"/>
  <c r="Q95" i="14"/>
  <c r="R95" i="14" s="1"/>
  <c r="M96" i="14"/>
  <c r="N96" i="14"/>
  <c r="Q96" i="14"/>
  <c r="R96" i="14" s="1"/>
  <c r="M97" i="14"/>
  <c r="N97" i="14"/>
  <c r="Q97" i="14"/>
  <c r="R97" i="14" s="1"/>
  <c r="M98" i="14"/>
  <c r="N98" i="14"/>
  <c r="Q98" i="14"/>
  <c r="R98" i="14" s="1"/>
  <c r="M99" i="14"/>
  <c r="N99" i="14"/>
  <c r="Q99" i="14"/>
  <c r="R99" i="14" s="1"/>
  <c r="M100" i="14"/>
  <c r="N100" i="14"/>
  <c r="Q100" i="14"/>
  <c r="R100" i="14" s="1"/>
  <c r="M101" i="14"/>
  <c r="N101" i="14"/>
  <c r="Q101" i="14"/>
  <c r="R101" i="14" s="1"/>
  <c r="M102" i="14"/>
  <c r="N102" i="14"/>
  <c r="Q102" i="14"/>
  <c r="R102" i="14" s="1"/>
  <c r="M103" i="14"/>
  <c r="N103" i="14"/>
  <c r="Q103" i="14"/>
  <c r="R103" i="14" s="1"/>
  <c r="M104" i="14"/>
  <c r="N104" i="14"/>
  <c r="Q104" i="14"/>
  <c r="R104" i="14" s="1"/>
  <c r="M94" i="14"/>
  <c r="N94" i="14"/>
  <c r="Q94" i="14"/>
  <c r="R94" i="14" s="1"/>
  <c r="M70" i="14"/>
  <c r="N70" i="14"/>
  <c r="Q70" i="14"/>
  <c r="R70" i="14" s="1"/>
  <c r="M71" i="14"/>
  <c r="N71" i="14"/>
  <c r="Q71" i="14"/>
  <c r="R71" i="14" s="1"/>
  <c r="M72" i="14"/>
  <c r="N72" i="14"/>
  <c r="Q72" i="14"/>
  <c r="R72" i="14" s="1"/>
  <c r="M73" i="14"/>
  <c r="N73" i="14"/>
  <c r="Q73" i="14"/>
  <c r="R73" i="14" s="1"/>
  <c r="M74" i="14"/>
  <c r="N74" i="14"/>
  <c r="Q74" i="14"/>
  <c r="R74" i="14" s="1"/>
  <c r="M75" i="14"/>
  <c r="N75" i="14"/>
  <c r="Q75" i="14"/>
  <c r="R75" i="14" s="1"/>
  <c r="M76" i="14"/>
  <c r="N76" i="14"/>
  <c r="Q76" i="14"/>
  <c r="R76" i="14" s="1"/>
  <c r="M77" i="14"/>
  <c r="N77" i="14"/>
  <c r="Q77" i="14"/>
  <c r="R77" i="14" s="1"/>
  <c r="M78" i="14"/>
  <c r="N78" i="14"/>
  <c r="Q78" i="14"/>
  <c r="R78" i="14" s="1"/>
  <c r="M79" i="14"/>
  <c r="N79" i="14"/>
  <c r="Q79" i="14"/>
  <c r="R79" i="14" s="1"/>
  <c r="M80" i="14"/>
  <c r="N80" i="14"/>
  <c r="Q80" i="14"/>
  <c r="R80" i="14" s="1"/>
  <c r="M81" i="14"/>
  <c r="N81" i="14"/>
  <c r="Q81" i="14"/>
  <c r="R81" i="14" s="1"/>
  <c r="M82" i="14"/>
  <c r="N82" i="14"/>
  <c r="Q82" i="14"/>
  <c r="R82" i="14" s="1"/>
  <c r="M83" i="14"/>
  <c r="N83" i="14"/>
  <c r="Q83" i="14"/>
  <c r="R83" i="14" s="1"/>
  <c r="M84" i="14"/>
  <c r="N84" i="14"/>
  <c r="Q84" i="14"/>
  <c r="R84" i="14" s="1"/>
  <c r="M85" i="14"/>
  <c r="N85" i="14"/>
  <c r="Q85" i="14"/>
  <c r="R85" i="14" s="1"/>
  <c r="M86" i="14"/>
  <c r="N86" i="14"/>
  <c r="Q86" i="14"/>
  <c r="R86" i="14" s="1"/>
  <c r="M87" i="14"/>
  <c r="N87" i="14"/>
  <c r="Q87" i="14"/>
  <c r="R87" i="14" s="1"/>
  <c r="M88" i="14"/>
  <c r="N88" i="14"/>
  <c r="Q88" i="14"/>
  <c r="R88" i="14" s="1"/>
  <c r="M89" i="14"/>
  <c r="N89" i="14"/>
  <c r="Q89" i="14"/>
  <c r="R89" i="14" s="1"/>
  <c r="M90" i="14"/>
  <c r="N90" i="14"/>
  <c r="Q90" i="14"/>
  <c r="R90" i="14" s="1"/>
  <c r="M91" i="14"/>
  <c r="N91" i="14"/>
  <c r="Q91" i="14"/>
  <c r="R91" i="14" s="1"/>
  <c r="M92" i="14"/>
  <c r="N92" i="14"/>
  <c r="Q92" i="14"/>
  <c r="R92" i="14" s="1"/>
  <c r="M93" i="14"/>
  <c r="N93" i="14"/>
  <c r="Q93" i="14"/>
  <c r="R93" i="14" s="1"/>
  <c r="M69" i="14"/>
  <c r="N69" i="14"/>
  <c r="Q69" i="14"/>
  <c r="R69" i="14" s="1"/>
  <c r="M68" i="14"/>
  <c r="N68" i="14"/>
  <c r="Q68" i="14"/>
  <c r="R68" i="14" s="1"/>
  <c r="M55" i="14"/>
  <c r="N55" i="14"/>
  <c r="Q55" i="14"/>
  <c r="R55" i="14" s="1"/>
  <c r="M56" i="14"/>
  <c r="N56" i="14"/>
  <c r="Q56" i="14"/>
  <c r="R56" i="14" s="1"/>
  <c r="M57" i="14"/>
  <c r="N57" i="14"/>
  <c r="Q57" i="14"/>
  <c r="R57" i="14" s="1"/>
  <c r="M58" i="14"/>
  <c r="N58" i="14"/>
  <c r="Q58" i="14"/>
  <c r="R58" i="14" s="1"/>
  <c r="M59" i="14"/>
  <c r="N59" i="14"/>
  <c r="Q59" i="14"/>
  <c r="R59" i="14" s="1"/>
  <c r="M60" i="14"/>
  <c r="N60" i="14"/>
  <c r="Q60" i="14"/>
  <c r="R60" i="14" s="1"/>
  <c r="M61" i="14"/>
  <c r="N61" i="14"/>
  <c r="Q61" i="14"/>
  <c r="R61" i="14" s="1"/>
  <c r="M62" i="14"/>
  <c r="N62" i="14"/>
  <c r="Q62" i="14"/>
  <c r="R62" i="14" s="1"/>
  <c r="M63" i="14"/>
  <c r="N63" i="14"/>
  <c r="Q63" i="14"/>
  <c r="R63" i="14" s="1"/>
  <c r="M64" i="14"/>
  <c r="N64" i="14"/>
  <c r="Q64" i="14"/>
  <c r="R64" i="14" s="1"/>
  <c r="M65" i="14"/>
  <c r="N65" i="14"/>
  <c r="Q65" i="14"/>
  <c r="R65" i="14" s="1"/>
  <c r="M66" i="14"/>
  <c r="N66" i="14"/>
  <c r="Q66" i="14"/>
  <c r="R66" i="14" s="1"/>
  <c r="M67" i="14"/>
  <c r="N67" i="14"/>
  <c r="Q67" i="14"/>
  <c r="R67" i="14" s="1"/>
  <c r="M54" i="14"/>
  <c r="N54" i="14"/>
  <c r="Q54" i="14"/>
  <c r="R54" i="14" s="1"/>
  <c r="M52" i="14"/>
  <c r="N52" i="14"/>
  <c r="Q52" i="14"/>
  <c r="R52" i="14" s="1"/>
  <c r="M53" i="14"/>
  <c r="N53" i="14"/>
  <c r="Q53" i="14"/>
  <c r="R53" i="14" s="1"/>
  <c r="M51" i="14"/>
  <c r="N51" i="14"/>
  <c r="Q51" i="14"/>
  <c r="R51" i="14" s="1"/>
  <c r="M4" i="14"/>
  <c r="N4" i="14"/>
  <c r="Q4" i="14"/>
  <c r="R4" i="14" s="1"/>
  <c r="M5" i="14"/>
  <c r="N5" i="14"/>
  <c r="Q5" i="14"/>
  <c r="R5" i="14" s="1"/>
  <c r="M6" i="14"/>
  <c r="N6" i="14"/>
  <c r="Q6" i="14"/>
  <c r="R6" i="14" s="1"/>
  <c r="M7" i="14"/>
  <c r="N7" i="14"/>
  <c r="Q7" i="14"/>
  <c r="R7" i="14" s="1"/>
  <c r="M8" i="14"/>
  <c r="N8" i="14"/>
  <c r="Q8" i="14"/>
  <c r="R8" i="14" s="1"/>
  <c r="M9" i="14"/>
  <c r="N9" i="14"/>
  <c r="Q9" i="14"/>
  <c r="R9" i="14" s="1"/>
  <c r="M10" i="14"/>
  <c r="N10" i="14"/>
  <c r="Q10" i="14"/>
  <c r="R10" i="14" s="1"/>
  <c r="M11" i="14"/>
  <c r="N11" i="14"/>
  <c r="Q11" i="14"/>
  <c r="R11" i="14" s="1"/>
  <c r="M12" i="14"/>
  <c r="N12" i="14"/>
  <c r="Q12" i="14"/>
  <c r="R12" i="14" s="1"/>
  <c r="M13" i="14"/>
  <c r="N13" i="14"/>
  <c r="Q13" i="14"/>
  <c r="R13" i="14" s="1"/>
  <c r="M14" i="14"/>
  <c r="N14" i="14"/>
  <c r="Q14" i="14"/>
  <c r="R14" i="14" s="1"/>
  <c r="M15" i="14"/>
  <c r="N15" i="14"/>
  <c r="Q15" i="14"/>
  <c r="R15" i="14" s="1"/>
  <c r="M16" i="14"/>
  <c r="N16" i="14"/>
  <c r="Q16" i="14"/>
  <c r="R16" i="14" s="1"/>
  <c r="M17" i="14"/>
  <c r="N17" i="14"/>
  <c r="Q17" i="14"/>
  <c r="R17" i="14" s="1"/>
  <c r="M18" i="14"/>
  <c r="N18" i="14"/>
  <c r="Q18" i="14"/>
  <c r="R18" i="14" s="1"/>
  <c r="M19" i="14"/>
  <c r="N19" i="14"/>
  <c r="Q19" i="14"/>
  <c r="R19" i="14" s="1"/>
  <c r="M20" i="14"/>
  <c r="N20" i="14"/>
  <c r="Q20" i="14"/>
  <c r="R20" i="14" s="1"/>
  <c r="M21" i="14"/>
  <c r="N21" i="14"/>
  <c r="Q21" i="14"/>
  <c r="R21" i="14" s="1"/>
  <c r="M22" i="14"/>
  <c r="N22" i="14"/>
  <c r="Q22" i="14"/>
  <c r="R22" i="14" s="1"/>
  <c r="M23" i="14"/>
  <c r="N23" i="14"/>
  <c r="Q23" i="14"/>
  <c r="R23" i="14" s="1"/>
  <c r="M24" i="14"/>
  <c r="N24" i="14"/>
  <c r="Q24" i="14"/>
  <c r="R24" i="14" s="1"/>
  <c r="M25" i="14"/>
  <c r="N25" i="14"/>
  <c r="Q25" i="14"/>
  <c r="R25" i="14" s="1"/>
  <c r="M26" i="14"/>
  <c r="N26" i="14"/>
  <c r="Q26" i="14"/>
  <c r="R26" i="14" s="1"/>
  <c r="M27" i="14"/>
  <c r="N27" i="14"/>
  <c r="Q27" i="14"/>
  <c r="R27" i="14" s="1"/>
  <c r="M28" i="14"/>
  <c r="N28" i="14"/>
  <c r="Q28" i="14"/>
  <c r="R28" i="14" s="1"/>
  <c r="M29" i="14"/>
  <c r="N29" i="14"/>
  <c r="Q29" i="14"/>
  <c r="R29" i="14" s="1"/>
  <c r="M30" i="14"/>
  <c r="N30" i="14"/>
  <c r="Q30" i="14"/>
  <c r="R30" i="14" s="1"/>
  <c r="M31" i="14"/>
  <c r="N31" i="14"/>
  <c r="Q31" i="14"/>
  <c r="R31" i="14" s="1"/>
  <c r="M32" i="14"/>
  <c r="N32" i="14"/>
  <c r="Q32" i="14"/>
  <c r="R32" i="14" s="1"/>
  <c r="M33" i="14"/>
  <c r="N33" i="14"/>
  <c r="Q33" i="14"/>
  <c r="R33" i="14" s="1"/>
  <c r="M34" i="14"/>
  <c r="N34" i="14"/>
  <c r="Q34" i="14"/>
  <c r="R34" i="14" s="1"/>
  <c r="M35" i="14"/>
  <c r="N35" i="14"/>
  <c r="Q35" i="14"/>
  <c r="R35" i="14" s="1"/>
  <c r="M36" i="14"/>
  <c r="N36" i="14"/>
  <c r="Q36" i="14"/>
  <c r="R36" i="14" s="1"/>
  <c r="M37" i="14"/>
  <c r="N37" i="14"/>
  <c r="Q37" i="14"/>
  <c r="R37" i="14" s="1"/>
  <c r="M38" i="14"/>
  <c r="N38" i="14"/>
  <c r="Q38" i="14"/>
  <c r="R38" i="14" s="1"/>
  <c r="M39" i="14"/>
  <c r="N39" i="14"/>
  <c r="Q39" i="14"/>
  <c r="R39" i="14"/>
  <c r="M40" i="14"/>
  <c r="N40" i="14"/>
  <c r="Q40" i="14"/>
  <c r="R40" i="14" s="1"/>
  <c r="M41" i="14"/>
  <c r="N41" i="14"/>
  <c r="Q41" i="14"/>
  <c r="R41" i="14" s="1"/>
  <c r="M42" i="14"/>
  <c r="N42" i="14"/>
  <c r="Q42" i="14"/>
  <c r="R42" i="14" s="1"/>
  <c r="M43" i="14"/>
  <c r="N43" i="14"/>
  <c r="Q43" i="14"/>
  <c r="R43" i="14" s="1"/>
  <c r="M44" i="14"/>
  <c r="N44" i="14"/>
  <c r="Q44" i="14"/>
  <c r="R44" i="14" s="1"/>
  <c r="M45" i="14"/>
  <c r="N45" i="14"/>
  <c r="Q45" i="14"/>
  <c r="R45" i="14" s="1"/>
  <c r="M46" i="14"/>
  <c r="N46" i="14"/>
  <c r="Q46" i="14"/>
  <c r="R46" i="14" s="1"/>
  <c r="M47" i="14"/>
  <c r="N47" i="14"/>
  <c r="Q47" i="14"/>
  <c r="R47" i="14" s="1"/>
  <c r="M48" i="14"/>
  <c r="N48" i="14"/>
  <c r="Q48" i="14"/>
  <c r="R48" i="14" s="1"/>
  <c r="M49" i="14"/>
  <c r="N49" i="14"/>
  <c r="Q49" i="14"/>
  <c r="R49" i="14" s="1"/>
  <c r="M50" i="14"/>
  <c r="N50" i="14"/>
  <c r="Q50" i="14"/>
  <c r="R50" i="14" s="1"/>
  <c r="M3" i="14"/>
  <c r="N3" i="14"/>
  <c r="Q3" i="14"/>
  <c r="R3" i="14" s="1"/>
  <c r="M2" i="14"/>
  <c r="N2" i="14"/>
  <c r="Q2" i="14"/>
  <c r="R2" i="14" s="1"/>
  <c r="U55" i="1"/>
  <c r="V55" i="1"/>
  <c r="T55" i="1"/>
  <c r="S55" i="1"/>
  <c r="R55" i="1"/>
  <c r="Q55" i="1"/>
  <c r="P5" i="11"/>
  <c r="R5" i="11"/>
  <c r="C72" i="1" s="1"/>
  <c r="S15" i="9" l="1"/>
  <c r="Y15" i="9"/>
  <c r="X15" i="9" l="1"/>
  <c r="C70" i="1" s="1"/>
  <c r="R15" i="9"/>
  <c r="U15" i="9"/>
  <c r="W15" i="9"/>
  <c r="N5" i="5"/>
  <c r="M5" i="5"/>
  <c r="C66" i="1" s="1"/>
  <c r="R7" i="2"/>
  <c r="P18" i="4"/>
  <c r="Q5" i="11"/>
  <c r="S5" i="11"/>
  <c r="S6" i="13"/>
  <c r="C74" i="1" s="1"/>
  <c r="T15" i="9" l="1"/>
  <c r="V15" i="9"/>
  <c r="O18" i="4"/>
  <c r="C64" i="1" s="1"/>
  <c r="W29" i="6"/>
  <c r="C68" i="1" s="1"/>
  <c r="Q7" i="2"/>
  <c r="C62" i="1" s="1"/>
  <c r="C60" i="1"/>
  <c r="C78" i="1" l="1"/>
</calcChain>
</file>

<file path=xl/sharedStrings.xml><?xml version="1.0" encoding="utf-8"?>
<sst xmlns="http://schemas.openxmlformats.org/spreadsheetml/2006/main" count="7790" uniqueCount="1530">
  <si>
    <t>Domestic Air Travel Statement for the period 16-08-2026 to 31-08-2026</t>
  </si>
  <si>
    <t>Reference No.</t>
  </si>
  <si>
    <t>Reference Date</t>
  </si>
  <si>
    <t>Booking Date</t>
  </si>
  <si>
    <t>Department</t>
  </si>
  <si>
    <t>Location</t>
  </si>
  <si>
    <t>Passenger Name</t>
  </si>
  <si>
    <t>Employee Code</t>
  </si>
  <si>
    <t>Cost Center</t>
  </si>
  <si>
    <t>Cost Code</t>
  </si>
  <si>
    <t>Product Line</t>
  </si>
  <si>
    <t>Travel Date</t>
  </si>
  <si>
    <t>Sector</t>
  </si>
  <si>
    <t>Airline</t>
  </si>
  <si>
    <t>Flight No.</t>
  </si>
  <si>
    <t>Class</t>
  </si>
  <si>
    <t>Ticket No.</t>
  </si>
  <si>
    <t>Taxable Fare</t>
  </si>
  <si>
    <t>Exempt Fare</t>
  </si>
  <si>
    <t>Other Taxes</t>
  </si>
  <si>
    <t>Airline GST</t>
  </si>
  <si>
    <t>Total Fare</t>
  </si>
  <si>
    <t>Travel Management Fee</t>
  </si>
  <si>
    <t>Approver Name</t>
  </si>
  <si>
    <t>Approval Status</t>
  </si>
  <si>
    <t>Approval Date</t>
  </si>
  <si>
    <t>Approval Time</t>
  </si>
  <si>
    <t>Flown Status</t>
  </si>
  <si>
    <t>Corporate</t>
  </si>
  <si>
    <t>Business Unit</t>
  </si>
  <si>
    <t>Booking Reference No.</t>
  </si>
  <si>
    <t>Trip Unique ID</t>
  </si>
  <si>
    <t>Designation</t>
  </si>
  <si>
    <t>Type Of Journey</t>
  </si>
  <si>
    <t>Type Of Travel</t>
  </si>
  <si>
    <t>Job Band</t>
  </si>
  <si>
    <t>Passenger Email Id</t>
  </si>
  <si>
    <t>Booking Code</t>
  </si>
  <si>
    <t>YQ</t>
  </si>
  <si>
    <t>YR</t>
  </si>
  <si>
    <t>Request No.</t>
  </si>
  <si>
    <t>Request Created Date</t>
  </si>
  <si>
    <t>Request Created Time</t>
  </si>
  <si>
    <t>Trip Title</t>
  </si>
  <si>
    <t>Fare Type</t>
  </si>
  <si>
    <t>Purpose of Visit</t>
  </si>
  <si>
    <t>Reissue Status</t>
  </si>
  <si>
    <t>Second Approver Name</t>
  </si>
  <si>
    <t>Second Approval Status</t>
  </si>
  <si>
    <t>Second Approval Date</t>
  </si>
  <si>
    <t>Second Approval Time</t>
  </si>
  <si>
    <t>Contact No.</t>
  </si>
  <si>
    <t>GST No.</t>
  </si>
  <si>
    <t>GST State</t>
  </si>
  <si>
    <t>Full Ticket No.</t>
  </si>
  <si>
    <t>Airline PNR</t>
  </si>
  <si>
    <t>XL Code</t>
  </si>
  <si>
    <t>Project</t>
  </si>
  <si>
    <t>HSN Code</t>
  </si>
  <si>
    <t>Only Travel Date</t>
  </si>
  <si>
    <t>Requester Name</t>
  </si>
  <si>
    <t>Requester Empid</t>
  </si>
  <si>
    <t>KMS</t>
  </si>
  <si>
    <t>Client Req No</t>
  </si>
  <si>
    <t>AIR IGST</t>
  </si>
  <si>
    <t>AIR CGST</t>
  </si>
  <si>
    <t>AIR SGST</t>
  </si>
  <si>
    <t>Carbon Emission (Metric Tonnes)</t>
  </si>
  <si>
    <t>Arrival Date</t>
  </si>
  <si>
    <t>Event Name</t>
  </si>
  <si>
    <t>TR ID</t>
  </si>
  <si>
    <t>Debit Cost Code</t>
  </si>
  <si>
    <t>Function</t>
  </si>
  <si>
    <t>PLANNED_TIME_IN_DAYS</t>
  </si>
  <si>
    <t>Source Destination City</t>
  </si>
  <si>
    <t>Referred by</t>
  </si>
  <si>
    <t>GL Code</t>
  </si>
  <si>
    <t>Job Type</t>
  </si>
  <si>
    <t>Division Name</t>
  </si>
  <si>
    <t>K3</t>
  </si>
  <si>
    <t>SAP / HR Company Code</t>
  </si>
  <si>
    <t>Adani Legal Entity GST Number</t>
  </si>
  <si>
    <t>Location Code</t>
  </si>
  <si>
    <t>Gender</t>
  </si>
  <si>
    <t>Unique ID</t>
  </si>
  <si>
    <t>Job Reason</t>
  </si>
  <si>
    <t>CC_AUTHCODE</t>
  </si>
  <si>
    <t>Zone</t>
  </si>
  <si>
    <t>FIRST_APP_emp_id</t>
  </si>
  <si>
    <t>FIRST_APP_mgmtl_name</t>
  </si>
  <si>
    <t>SECOND_APP_emp_id</t>
  </si>
  <si>
    <t>SECOND_APP_mgmtl_name</t>
  </si>
  <si>
    <t>16-AUG-2026</t>
  </si>
  <si>
    <t>Bengaluru</t>
  </si>
  <si>
    <t>New Delhi-Aurangabad</t>
  </si>
  <si>
    <t>Air India</t>
  </si>
  <si>
    <t>Economy</t>
  </si>
  <si>
    <t>Approved</t>
  </si>
  <si>
    <t>FLOWN</t>
  </si>
  <si>
    <t>Teamlease Services Ltd</t>
  </si>
  <si>
    <t>Assistant General Manager</t>
  </si>
  <si>
    <t>One Way</t>
  </si>
  <si>
    <t>Domestic</t>
  </si>
  <si>
    <t>L8</t>
  </si>
  <si>
    <t>L</t>
  </si>
  <si>
    <t>CORPORATE</t>
  </si>
  <si>
    <t>Official</t>
  </si>
  <si>
    <t>Original</t>
  </si>
  <si>
    <t>Karnataka</t>
  </si>
  <si>
    <t xml:space="preserve"> - </t>
  </si>
  <si>
    <t>DEL-IXU</t>
  </si>
  <si>
    <t>M</t>
  </si>
  <si>
    <t>LST</t>
  </si>
  <si>
    <t>New Delhi-Bangalore</t>
  </si>
  <si>
    <t>17-AUG-2026</t>
  </si>
  <si>
    <t>Round Trip</t>
  </si>
  <si>
    <t>Delhi</t>
  </si>
  <si>
    <t>DEL-BLR</t>
  </si>
  <si>
    <t>F</t>
  </si>
  <si>
    <t>Bangalore-New Delhi</t>
  </si>
  <si>
    <t>BLR-DEL</t>
  </si>
  <si>
    <t>Operations</t>
  </si>
  <si>
    <t>Indigo</t>
  </si>
  <si>
    <t>L5</t>
  </si>
  <si>
    <t>WEB</t>
  </si>
  <si>
    <t>Maharashtra</t>
  </si>
  <si>
    <t>28-08-202/</t>
  </si>
  <si>
    <t>P</t>
  </si>
  <si>
    <t>25-08-202/</t>
  </si>
  <si>
    <t>O</t>
  </si>
  <si>
    <t>DW26/780819</t>
  </si>
  <si>
    <t>Administration</t>
  </si>
  <si>
    <t>MR. M A SIKANDAR</t>
  </si>
  <si>
    <t>CQ00873075</t>
  </si>
  <si>
    <t>NA</t>
  </si>
  <si>
    <t>22-08-2026 22:45:00</t>
  </si>
  <si>
    <t>Kannur-New Delhi</t>
  </si>
  <si>
    <t>6E-6148</t>
  </si>
  <si>
    <t>DBS17D</t>
  </si>
  <si>
    <t>MS. PRIYANKA THAKUR</t>
  </si>
  <si>
    <t>12:06</t>
  </si>
  <si>
    <t>TLEdtech</t>
  </si>
  <si>
    <t>200117939470</t>
  </si>
  <si>
    <t>Consultant</t>
  </si>
  <si>
    <t>masikandar@jamiahamdard.ac.in</t>
  </si>
  <si>
    <t>H</t>
  </si>
  <si>
    <t>11:56</t>
  </si>
  <si>
    <t>27AAPCS2871R1ZB</t>
  </si>
  <si>
    <t>T004S</t>
  </si>
  <si>
    <t>22-08-202/</t>
  </si>
  <si>
    <t>Mr. Satyavan Sawant</t>
  </si>
  <si>
    <t>T17247</t>
  </si>
  <si>
    <t>23-08-2026 01:45:00</t>
  </si>
  <si>
    <t>CNN-DEL</t>
  </si>
  <si>
    <t>TeamLease Edtech Limited</t>
  </si>
  <si>
    <t>'11793947008222245</t>
  </si>
  <si>
    <t>T16868</t>
  </si>
  <si>
    <t>L3</t>
  </si>
  <si>
    <t>DW26/782230</t>
  </si>
  <si>
    <t>MR. ABDUL FAROOQI</t>
  </si>
  <si>
    <t>CQ00873076</t>
  </si>
  <si>
    <t>ZD8CPG</t>
  </si>
  <si>
    <t>RFND</t>
  </si>
  <si>
    <t>200117939474</t>
  </si>
  <si>
    <t>majid@jamiahamdard.ac.in</t>
  </si>
  <si>
    <t>12:00</t>
  </si>
  <si>
    <t>'11793947408222245</t>
  </si>
  <si>
    <t>DW26/781796</t>
  </si>
  <si>
    <t>19-08-2026 09:30:00/19-08-2026 13:35:00</t>
  </si>
  <si>
    <t>New Delhi-Mumbai/Mumbai-Kannur</t>
  </si>
  <si>
    <t>Indigo/Indigo</t>
  </si>
  <si>
    <t>6E-6107/6E-2011</t>
  </si>
  <si>
    <t>SH8JWH</t>
  </si>
  <si>
    <t>RFND/RFND</t>
  </si>
  <si>
    <t>200117939473</t>
  </si>
  <si>
    <t>R/R</t>
  </si>
  <si>
    <t>19-08-202//19-08-20</t>
  </si>
  <si>
    <t>1139/848</t>
  </si>
  <si>
    <t>19-08-2026 11:55:00/19-08-2026 15:15:00</t>
  </si>
  <si>
    <t>DEL-CNN</t>
  </si>
  <si>
    <t>'11793947308190930/11793947308191335</t>
  </si>
  <si>
    <t>DW26/780892</t>
  </si>
  <si>
    <t>EBE7FG</t>
  </si>
  <si>
    <t>FLOWN/FLOWN</t>
  </si>
  <si>
    <t>200117939469</t>
  </si>
  <si>
    <t>'11793946908190930/11793946908191335</t>
  </si>
  <si>
    <t>14-AUG-2026</t>
  </si>
  <si>
    <t>R</t>
  </si>
  <si>
    <t>17-08-202/</t>
  </si>
  <si>
    <t>19-08-202/</t>
  </si>
  <si>
    <t>L9</t>
  </si>
  <si>
    <t>Ranchi-New Delhi</t>
  </si>
  <si>
    <t>IXR-DEL</t>
  </si>
  <si>
    <t>MR. DINESH KUMAR</t>
  </si>
  <si>
    <t>Senior Manager</t>
  </si>
  <si>
    <t>L7</t>
  </si>
  <si>
    <t>L10</t>
  </si>
  <si>
    <t>K</t>
  </si>
  <si>
    <t>21-08-202/</t>
  </si>
  <si>
    <t>Chennai-New Delhi</t>
  </si>
  <si>
    <t>Manager</t>
  </si>
  <si>
    <t>Q</t>
  </si>
  <si>
    <t>15:35</t>
  </si>
  <si>
    <t>27-08-202/</t>
  </si>
  <si>
    <t>MAA-DEL</t>
  </si>
  <si>
    <t>New Delhi-Chennai</t>
  </si>
  <si>
    <t>23-08-202/</t>
  </si>
  <si>
    <t>DEL-MAA</t>
  </si>
  <si>
    <t>09:44</t>
  </si>
  <si>
    <t>DW26/782006</t>
  </si>
  <si>
    <t>University B2C</t>
  </si>
  <si>
    <t>MR. CHETAN DIXIT</t>
  </si>
  <si>
    <t>SG0506</t>
  </si>
  <si>
    <t>62-MUM-SSS</t>
  </si>
  <si>
    <t>W662SL</t>
  </si>
  <si>
    <t>MR. UDITENDU BOSE</t>
  </si>
  <si>
    <t>16:43</t>
  </si>
  <si>
    <t>200117942128</t>
  </si>
  <si>
    <t>Vertical Head - Consumer Business</t>
  </si>
  <si>
    <t>chetan.dixit@teamlease.com</t>
  </si>
  <si>
    <t>Q/Q</t>
  </si>
  <si>
    <t>16:38</t>
  </si>
  <si>
    <t>29AAPCS2871R1Z7</t>
  </si>
  <si>
    <t>'11794212808190930/11794212808191335</t>
  </si>
  <si>
    <t>SG0320</t>
  </si>
  <si>
    <t>DW26/780625</t>
  </si>
  <si>
    <t>A72B5C</t>
  </si>
  <si>
    <t>200117942129</t>
  </si>
  <si>
    <t>'11794212908222245</t>
  </si>
  <si>
    <t>DW26/781991</t>
  </si>
  <si>
    <t>MR. ABDUL MAJID FAROOQI</t>
  </si>
  <si>
    <t>VHYEPH</t>
  </si>
  <si>
    <t>16:47</t>
  </si>
  <si>
    <t>200117942152</t>
  </si>
  <si>
    <t>'11794215208190930/11794215208191335</t>
  </si>
  <si>
    <t>DW26/781403</t>
  </si>
  <si>
    <t>MBF3YJ</t>
  </si>
  <si>
    <t>200117942153</t>
  </si>
  <si>
    <t>'11794215308222245</t>
  </si>
  <si>
    <t>U</t>
  </si>
  <si>
    <t>General Manager</t>
  </si>
  <si>
    <t>Jamshedpur</t>
  </si>
  <si>
    <t>16:55</t>
  </si>
  <si>
    <t>Jharkhand</t>
  </si>
  <si>
    <t>26-08-202/</t>
  </si>
  <si>
    <t>24-08-202/</t>
  </si>
  <si>
    <t>29-08-202/</t>
  </si>
  <si>
    <t>14:38</t>
  </si>
  <si>
    <t>27-08-2026 09:45:00</t>
  </si>
  <si>
    <t>Jaipur</t>
  </si>
  <si>
    <t>Jaipur-New Delhi</t>
  </si>
  <si>
    <t>Rajasthan</t>
  </si>
  <si>
    <t>JAI-DEL</t>
  </si>
  <si>
    <t>New Delhi-Jaipur</t>
  </si>
  <si>
    <t>DEL-JAI</t>
  </si>
  <si>
    <t>Kolkata-New Delhi</t>
  </si>
  <si>
    <t>L6</t>
  </si>
  <si>
    <t>CCU-DEL</t>
  </si>
  <si>
    <t>New Delhi-Kolkata</t>
  </si>
  <si>
    <t>DEL-CCU</t>
  </si>
  <si>
    <t>Madhya Pradesh</t>
  </si>
  <si>
    <t>V</t>
  </si>
  <si>
    <t>Uttar Pradesh</t>
  </si>
  <si>
    <t>30-08-202/</t>
  </si>
  <si>
    <t>T</t>
  </si>
  <si>
    <t>03-09-202/</t>
  </si>
  <si>
    <t>Scheduled Visit</t>
  </si>
  <si>
    <t>DW26/785455</t>
  </si>
  <si>
    <t>Leadership</t>
  </si>
  <si>
    <t>MR. SHANTANU ROOJ</t>
  </si>
  <si>
    <t>SG0014</t>
  </si>
  <si>
    <t>68-MUM-LED</t>
  </si>
  <si>
    <t>26-08-2026 07:45:00</t>
  </si>
  <si>
    <t>Mumbai-Kolkata</t>
  </si>
  <si>
    <t>6E-5329</t>
  </si>
  <si>
    <t>K6J34F</t>
  </si>
  <si>
    <t>15:11</t>
  </si>
  <si>
    <t>200117956566</t>
  </si>
  <si>
    <t>Founder and CEO</t>
  </si>
  <si>
    <t>shantanu@teamlease.com</t>
  </si>
  <si>
    <t>Mr. Shantanu Rooj</t>
  </si>
  <si>
    <t>26-08-2026 10:30:00</t>
  </si>
  <si>
    <t>BOM-CCU</t>
  </si>
  <si>
    <t>'11795656608260745</t>
  </si>
  <si>
    <t>DW26/783895</t>
  </si>
  <si>
    <t>26-08-2026 18:45:00</t>
  </si>
  <si>
    <t>Kolkata-Mumbai</t>
  </si>
  <si>
    <t>6E-5128</t>
  </si>
  <si>
    <t>BYCZRJ</t>
  </si>
  <si>
    <t>200117956567</t>
  </si>
  <si>
    <t>26-08-2026 21:30:00</t>
  </si>
  <si>
    <t>CCU-BOM</t>
  </si>
  <si>
    <t>'11795656708261845</t>
  </si>
  <si>
    <t>18-AUG-2026</t>
  </si>
  <si>
    <t>23-08-2026 17:25:00</t>
  </si>
  <si>
    <t>New Delhi-Mumbai</t>
  </si>
  <si>
    <t>DEL-BOM</t>
  </si>
  <si>
    <t>Mumbai-New Delhi</t>
  </si>
  <si>
    <t>BOM-DEL</t>
  </si>
  <si>
    <t>Odisha</t>
  </si>
  <si>
    <t>17:00</t>
  </si>
  <si>
    <t>03-09-2026 17:45:00</t>
  </si>
  <si>
    <t>Bhopal-New Delhi</t>
  </si>
  <si>
    <t>BHO-DEL</t>
  </si>
  <si>
    <t>Senior General Manager</t>
  </si>
  <si>
    <t>C</t>
  </si>
  <si>
    <t>Akasa Air</t>
  </si>
  <si>
    <t>J</t>
  </si>
  <si>
    <t>TL Digital</t>
  </si>
  <si>
    <t>21-08-2026 23:55:00</t>
  </si>
  <si>
    <t>DW26/785429</t>
  </si>
  <si>
    <t>MR. ROSHAN DEEPAK PINTO</t>
  </si>
  <si>
    <t>T11294</t>
  </si>
  <si>
    <t>67-MUM-ELO</t>
  </si>
  <si>
    <t>26-08-2026 22:00:00</t>
  </si>
  <si>
    <t>6E-0846</t>
  </si>
  <si>
    <t>JYRBGJ</t>
  </si>
  <si>
    <t>MR. JAIDEEP KEWALRAMANI</t>
  </si>
  <si>
    <t>23:57</t>
  </si>
  <si>
    <t>200117967830</t>
  </si>
  <si>
    <t>roshan.pinto@teamlease.com</t>
  </si>
  <si>
    <t>MR. Roshan Deepak Pinto</t>
  </si>
  <si>
    <t>27-08-2026 00:55:00</t>
  </si>
  <si>
    <t>'11796783008262200</t>
  </si>
  <si>
    <t>T12553</t>
  </si>
  <si>
    <t>DW26/784868</t>
  </si>
  <si>
    <t>24-08-2026 18:15:00</t>
  </si>
  <si>
    <t>6E-6034</t>
  </si>
  <si>
    <t>H55U3Y</t>
  </si>
  <si>
    <t>200117967829</t>
  </si>
  <si>
    <t>24-08-2026 21:05:00</t>
  </si>
  <si>
    <t>'11796782908241815</t>
  </si>
  <si>
    <t>New Delhi-Guwahati</t>
  </si>
  <si>
    <t>DEL-GAU</t>
  </si>
  <si>
    <t>Y</t>
  </si>
  <si>
    <t>DW26/795993</t>
  </si>
  <si>
    <t>University Bd</t>
  </si>
  <si>
    <t>MR. ASHUTOSH DUBEY</t>
  </si>
  <si>
    <t>T17010</t>
  </si>
  <si>
    <t>61-MUM-USE</t>
  </si>
  <si>
    <t>24-08-2026 08:10:00</t>
  </si>
  <si>
    <t>AirIndia Express</t>
  </si>
  <si>
    <t>IX-1035</t>
  </si>
  <si>
    <t>R4C82C</t>
  </si>
  <si>
    <t>MR. MAHESH KUMAR</t>
  </si>
  <si>
    <t>10:15</t>
  </si>
  <si>
    <t>200117970188</t>
  </si>
  <si>
    <t>ashutosh.dubey@teamlease.com</t>
  </si>
  <si>
    <t>G</t>
  </si>
  <si>
    <t>10:01</t>
  </si>
  <si>
    <t>Mr. ASHUTOSH DUBEY</t>
  </si>
  <si>
    <t>24-08-2026 10:40:00</t>
  </si>
  <si>
    <t>'11797018808240810</t>
  </si>
  <si>
    <t>T15604</t>
  </si>
  <si>
    <t>03-09-2026 11:35:00</t>
  </si>
  <si>
    <t>DA26/178427</t>
  </si>
  <si>
    <t>MR. AAYUSH LAL</t>
  </si>
  <si>
    <t>T16161</t>
  </si>
  <si>
    <t>69-MUM-PBP</t>
  </si>
  <si>
    <t>21-08-2026 23:20:00</t>
  </si>
  <si>
    <t>AI-1845</t>
  </si>
  <si>
    <t>MS.  NIDHI RAJESH BAGLA</t>
  </si>
  <si>
    <t>10:43</t>
  </si>
  <si>
    <t>200117970808</t>
  </si>
  <si>
    <t>Senior Project Manager</t>
  </si>
  <si>
    <t>aayush.lal@teamlease.com</t>
  </si>
  <si>
    <t>10:31</t>
  </si>
  <si>
    <t>'0985808869063</t>
  </si>
  <si>
    <t>E8LTZ6</t>
  </si>
  <si>
    <t>Mr. AAYUSH LAL</t>
  </si>
  <si>
    <t>22-08-2026 02:15:00</t>
  </si>
  <si>
    <t>'11797080808212320</t>
  </si>
  <si>
    <t>T17642</t>
  </si>
  <si>
    <t>DW26/796548</t>
  </si>
  <si>
    <t>19-08-2026 14:30:00</t>
  </si>
  <si>
    <t>SpiceJet</t>
  </si>
  <si>
    <t>SG-9300</t>
  </si>
  <si>
    <t>FFKVQD</t>
  </si>
  <si>
    <t>200117970807</t>
  </si>
  <si>
    <t>W</t>
  </si>
  <si>
    <t>19-08-2026 17:30:00</t>
  </si>
  <si>
    <t>'11797080708191430</t>
  </si>
  <si>
    <t>01-09-202/</t>
  </si>
  <si>
    <t>02-09-202/</t>
  </si>
  <si>
    <t>13:23</t>
  </si>
  <si>
    <t>DW26/791733</t>
  </si>
  <si>
    <t>25-08-2026 09:10:00</t>
  </si>
  <si>
    <t>New Delhi-Gaya</t>
  </si>
  <si>
    <t>6E-2448</t>
  </si>
  <si>
    <t>CDD3JA</t>
  </si>
  <si>
    <t>16:34</t>
  </si>
  <si>
    <t>200117979769</t>
  </si>
  <si>
    <t>15:36</t>
  </si>
  <si>
    <t>25-08-2026 11:00:00</t>
  </si>
  <si>
    <t>DEL-GAY</t>
  </si>
  <si>
    <t>'11797976908250910</t>
  </si>
  <si>
    <t>DW26/791750</t>
  </si>
  <si>
    <t>30-08-2026 20:35:00</t>
  </si>
  <si>
    <t>6E-6274</t>
  </si>
  <si>
    <t>CEUFVK</t>
  </si>
  <si>
    <t>16:37</t>
  </si>
  <si>
    <t>200117979829</t>
  </si>
  <si>
    <t>30-08-2026 22:35:00</t>
  </si>
  <si>
    <t>'11797982908302035</t>
  </si>
  <si>
    <t>19-AUG-2026</t>
  </si>
  <si>
    <t>16:02</t>
  </si>
  <si>
    <t>17:58</t>
  </si>
  <si>
    <t>DW26/798332</t>
  </si>
  <si>
    <t>19-08-2026 11:00:00</t>
  </si>
  <si>
    <t>6E-0434</t>
  </si>
  <si>
    <t>BYS3SW</t>
  </si>
  <si>
    <t>07:33</t>
  </si>
  <si>
    <t>200117988871</t>
  </si>
  <si>
    <t>07:27</t>
  </si>
  <si>
    <t>19-08-2026 13:50:00</t>
  </si>
  <si>
    <t>'11798887108191100</t>
  </si>
  <si>
    <t>DA26/181264</t>
  </si>
  <si>
    <t>24-08-2026 10:30:00</t>
  </si>
  <si>
    <t>AI-2772</t>
  </si>
  <si>
    <t>16:09</t>
  </si>
  <si>
    <t>200117997990</t>
  </si>
  <si>
    <t>Vice President - Consumer Sales</t>
  </si>
  <si>
    <t>uditendu.bose@teamlease.com</t>
  </si>
  <si>
    <t>13:59</t>
  </si>
  <si>
    <t>'0985808907262</t>
  </si>
  <si>
    <t>ETRM8B</t>
  </si>
  <si>
    <t>Ms. Priyanka Thakur</t>
  </si>
  <si>
    <t>24-08-2026 13:35:00</t>
  </si>
  <si>
    <t>'11799799008241030</t>
  </si>
  <si>
    <t>DA26/181266</t>
  </si>
  <si>
    <t>27-08-2026 06:55:00</t>
  </si>
  <si>
    <t>AI-2771</t>
  </si>
  <si>
    <t>200117997991</t>
  </si>
  <si>
    <t>'0985808907264</t>
  </si>
  <si>
    <t>ETQQ6X</t>
  </si>
  <si>
    <t>'11799799108270655</t>
  </si>
  <si>
    <t>21-AUG-2026</t>
  </si>
  <si>
    <t>18:37</t>
  </si>
  <si>
    <t>31-08-202/</t>
  </si>
  <si>
    <t>20-AUG-2026</t>
  </si>
  <si>
    <t>DW26/799416</t>
  </si>
  <si>
    <t>23-08-2026 11:35:00</t>
  </si>
  <si>
    <t>6E-5288</t>
  </si>
  <si>
    <t>KDJR9N</t>
  </si>
  <si>
    <t>17:05</t>
  </si>
  <si>
    <t>200117999595</t>
  </si>
  <si>
    <t>23-08-2026 14:35:00</t>
  </si>
  <si>
    <t>'11799959508231135</t>
  </si>
  <si>
    <t>Chennai-Mumbai</t>
  </si>
  <si>
    <t>MAA-BOM</t>
  </si>
  <si>
    <t>DW26/799382</t>
  </si>
  <si>
    <t>21-08-2026 20:45:00</t>
  </si>
  <si>
    <t>6E-0853</t>
  </si>
  <si>
    <t>K9PBJM</t>
  </si>
  <si>
    <t>200118001834</t>
  </si>
  <si>
    <t>18:30</t>
  </si>
  <si>
    <t>21-08-2026 23:00:00</t>
  </si>
  <si>
    <t>'11800183408212045</t>
  </si>
  <si>
    <t>DA26/181589</t>
  </si>
  <si>
    <t>21-08-2026 08:30:00</t>
  </si>
  <si>
    <t>AI-2970</t>
  </si>
  <si>
    <t>200118001833</t>
  </si>
  <si>
    <t>'0985808911595</t>
  </si>
  <si>
    <t>EVL5VE</t>
  </si>
  <si>
    <t>21-08-2026 10:50:00</t>
  </si>
  <si>
    <t>'11800183308210830</t>
  </si>
  <si>
    <t>R2</t>
  </si>
  <si>
    <t>13:42</t>
  </si>
  <si>
    <t>DA26/182479</t>
  </si>
  <si>
    <t>21-08-2026 21:30:00</t>
  </si>
  <si>
    <t>AI-2433</t>
  </si>
  <si>
    <t>13:24</t>
  </si>
  <si>
    <t>200118013519</t>
  </si>
  <si>
    <t>13:19</t>
  </si>
  <si>
    <t>'0985808926793</t>
  </si>
  <si>
    <t>FB4UCA</t>
  </si>
  <si>
    <t>'11801351908212130</t>
  </si>
  <si>
    <t>Service</t>
  </si>
  <si>
    <t>L2</t>
  </si>
  <si>
    <t>DW26/806555</t>
  </si>
  <si>
    <t>28-08-2026 19:35:00</t>
  </si>
  <si>
    <t>Ahmedabad-Mumbai</t>
  </si>
  <si>
    <t>6E-5160</t>
  </si>
  <si>
    <t>R8PE7P</t>
  </si>
  <si>
    <t>200118015907</t>
  </si>
  <si>
    <t>14:53</t>
  </si>
  <si>
    <t>28-08-2026 21:05:00</t>
  </si>
  <si>
    <t>AMD-BOM</t>
  </si>
  <si>
    <t>'11801590708281935</t>
  </si>
  <si>
    <t>DA26/182688</t>
  </si>
  <si>
    <t>28-08-2026 10:20:00</t>
  </si>
  <si>
    <t>Mumbai-Ahmedabad</t>
  </si>
  <si>
    <t>AI-2847</t>
  </si>
  <si>
    <t>200118015906</t>
  </si>
  <si>
    <t>'0985808929510</t>
  </si>
  <si>
    <t>FCBVSC</t>
  </si>
  <si>
    <t>28-08-2026 11:50:00</t>
  </si>
  <si>
    <t>BOM-AMD</t>
  </si>
  <si>
    <t>'11801590608281020</t>
  </si>
  <si>
    <t>DW26/808707</t>
  </si>
  <si>
    <t>Premier B2C</t>
  </si>
  <si>
    <t>MS. SHRUTIKA SHARMA</t>
  </si>
  <si>
    <t>T16151</t>
  </si>
  <si>
    <t>69-MUM-PBD</t>
  </si>
  <si>
    <t>Bangalore-Mumbai</t>
  </si>
  <si>
    <t>QP-1986</t>
  </si>
  <si>
    <t>YYS1MT</t>
  </si>
  <si>
    <t>MS. GEETIKA KOHLI</t>
  </si>
  <si>
    <t>200118018169</t>
  </si>
  <si>
    <t>shrutika.sharma@teamlease.com</t>
  </si>
  <si>
    <t>15:12</t>
  </si>
  <si>
    <t>03-09-2026 19:40:00</t>
  </si>
  <si>
    <t>BLR-BOM</t>
  </si>
  <si>
    <t>'11801816909031745</t>
  </si>
  <si>
    <t>SG0400</t>
  </si>
  <si>
    <t>DW26/806969</t>
  </si>
  <si>
    <t>31-08-2026 08:05:00</t>
  </si>
  <si>
    <t>Mumbai-Bangalore</t>
  </si>
  <si>
    <t>6E-5193</t>
  </si>
  <si>
    <t>TH3MFH</t>
  </si>
  <si>
    <t>200118018168</t>
  </si>
  <si>
    <t>31-08-2026 09:55:00</t>
  </si>
  <si>
    <t>BOM-BLR</t>
  </si>
  <si>
    <t>'11801816808310805</t>
  </si>
  <si>
    <t>N</t>
  </si>
  <si>
    <t>Aurangabad-New Delhi</t>
  </si>
  <si>
    <t>6E-6257</t>
  </si>
  <si>
    <t>IXU-DEL</t>
  </si>
  <si>
    <t>19:18</t>
  </si>
  <si>
    <t>18:11</t>
  </si>
  <si>
    <t>DW26/807439</t>
  </si>
  <si>
    <t>T11310</t>
  </si>
  <si>
    <t>63-DEL-DAS</t>
  </si>
  <si>
    <t>27-08-2026 21:20:00</t>
  </si>
  <si>
    <t>WG7C4X</t>
  </si>
  <si>
    <t>MR. NIPUN SHARMA</t>
  </si>
  <si>
    <t>19:08</t>
  </si>
  <si>
    <t>200118021115</t>
  </si>
  <si>
    <t>Head -  Operations (Enterprise Services)</t>
  </si>
  <si>
    <t>dinesh.gupta@teamlease.com</t>
  </si>
  <si>
    <t>18:21</t>
  </si>
  <si>
    <t>Mr. DINESH KUMAR</t>
  </si>
  <si>
    <t>27-08-2026 23:25:00</t>
  </si>
  <si>
    <t>'11802111508272120</t>
  </si>
  <si>
    <t>T16237</t>
  </si>
  <si>
    <t>DW26/807631</t>
  </si>
  <si>
    <t>23-08-2026 19:10:00</t>
  </si>
  <si>
    <t>6E-6256</t>
  </si>
  <si>
    <t>XHHZ8U</t>
  </si>
  <si>
    <t>200118021114</t>
  </si>
  <si>
    <t>23-08-2026 20:50:00</t>
  </si>
  <si>
    <t>'11802111408231910</t>
  </si>
  <si>
    <t>AI-2705</t>
  </si>
  <si>
    <t>11:02</t>
  </si>
  <si>
    <t>11:04</t>
  </si>
  <si>
    <t>15:29</t>
  </si>
  <si>
    <t>DW26/818659</t>
  </si>
  <si>
    <t>22-AUG-2026</t>
  </si>
  <si>
    <t>MRS. SRIMATHI R</t>
  </si>
  <si>
    <t>SG0444</t>
  </si>
  <si>
    <t>61-MUM-ASO</t>
  </si>
  <si>
    <t>31-08-2026 13:30:00</t>
  </si>
  <si>
    <t>Mumbai-Gwalior</t>
  </si>
  <si>
    <t>6E-5276</t>
  </si>
  <si>
    <t>XHSK3E</t>
  </si>
  <si>
    <t>03:59</t>
  </si>
  <si>
    <t>200118040752</t>
  </si>
  <si>
    <t>Head - University Operations</t>
  </si>
  <si>
    <t>srimathi.krishnan@teamlease.com</t>
  </si>
  <si>
    <t>16:31</t>
  </si>
  <si>
    <t>Mrs. SRIMATHI R</t>
  </si>
  <si>
    <t>31-08-2026 15:40:00</t>
  </si>
  <si>
    <t>BOM-GWL</t>
  </si>
  <si>
    <t>'11804075208311330</t>
  </si>
  <si>
    <t>DW26/817320</t>
  </si>
  <si>
    <t>02-09-2026 16:15:00</t>
  </si>
  <si>
    <t>Gwalior-Mumbai</t>
  </si>
  <si>
    <t>6E-5265</t>
  </si>
  <si>
    <t>IE8PPA</t>
  </si>
  <si>
    <t>200118040753</t>
  </si>
  <si>
    <t>02-09-2026 18:10:00</t>
  </si>
  <si>
    <t>GWL-BOM</t>
  </si>
  <si>
    <t>'11804075309021615</t>
  </si>
  <si>
    <t>DW26/817440</t>
  </si>
  <si>
    <t>MR. PRATHAMESH JADHAV</t>
  </si>
  <si>
    <t>T16692</t>
  </si>
  <si>
    <t>62-MUM-PBO</t>
  </si>
  <si>
    <t>27-08-2026 16:40:00</t>
  </si>
  <si>
    <t>6E-5104</t>
  </si>
  <si>
    <t>K6M28F</t>
  </si>
  <si>
    <t>200118042397</t>
  </si>
  <si>
    <t>prathamesh.jadhav@teamlease.com</t>
  </si>
  <si>
    <t>16:04</t>
  </si>
  <si>
    <t>Mr. Prathamesh JADHAV</t>
  </si>
  <si>
    <t>27-08-2026 18:40:00</t>
  </si>
  <si>
    <t>'11804239708271640</t>
  </si>
  <si>
    <t>DW26/818413</t>
  </si>
  <si>
    <t>Mumbai-Chennai</t>
  </si>
  <si>
    <t>6E-5048</t>
  </si>
  <si>
    <t>V5S74Y</t>
  </si>
  <si>
    <t>200118042396</t>
  </si>
  <si>
    <t>23-08-2026 19:35:00</t>
  </si>
  <si>
    <t>BOM-MAA</t>
  </si>
  <si>
    <t>'11804239608231725</t>
  </si>
  <si>
    <t>20:08</t>
  </si>
  <si>
    <t>DA26/185880</t>
  </si>
  <si>
    <t>23-AUG-2026</t>
  </si>
  <si>
    <t>MS. DEEPTI DEEPTI</t>
  </si>
  <si>
    <t>T17404</t>
  </si>
  <si>
    <t>27-08-2026 12:00:00</t>
  </si>
  <si>
    <t>AI-0430</t>
  </si>
  <si>
    <t>13:07</t>
  </si>
  <si>
    <t>200118054129</t>
  </si>
  <si>
    <t>deepti.thakur@teamlease.com</t>
  </si>
  <si>
    <t>13:03</t>
  </si>
  <si>
    <t>'0985808985901</t>
  </si>
  <si>
    <t>DSRJ3S</t>
  </si>
  <si>
    <t>Ms. Deepti DEEPTI</t>
  </si>
  <si>
    <t>27-08-2026 13:10:00</t>
  </si>
  <si>
    <t>'11805412908271200</t>
  </si>
  <si>
    <t>DW26/820993</t>
  </si>
  <si>
    <t>26-08-2026 07:40:00</t>
  </si>
  <si>
    <t>6E-6190</t>
  </si>
  <si>
    <t>FGRS4R</t>
  </si>
  <si>
    <t>200118054128</t>
  </si>
  <si>
    <t>26-08-2026 08:40:00</t>
  </si>
  <si>
    <t>'11805412808260740</t>
  </si>
  <si>
    <t>64-BAN-CSS</t>
  </si>
  <si>
    <t>24-AUG-2026</t>
  </si>
  <si>
    <t>04-09-202/</t>
  </si>
  <si>
    <t>Andhra Pradesh</t>
  </si>
  <si>
    <t>26-AUG-2026</t>
  </si>
  <si>
    <t>12:36</t>
  </si>
  <si>
    <t>17:18</t>
  </si>
  <si>
    <t>25-AUG-2026</t>
  </si>
  <si>
    <t>02-09-2026 23:00:00</t>
  </si>
  <si>
    <t>DW26/832334</t>
  </si>
  <si>
    <t>MR. KHUNJAMAYUM DAVID SINGH</t>
  </si>
  <si>
    <t>T17743</t>
  </si>
  <si>
    <t>29-08-2026 16:15:00</t>
  </si>
  <si>
    <t>Mysore-Hyderabad</t>
  </si>
  <si>
    <t>6E-7141</t>
  </si>
  <si>
    <t>JC142D</t>
  </si>
  <si>
    <t>200118081816</t>
  </si>
  <si>
    <t>Regional Head</t>
  </si>
  <si>
    <t>david.singh@teamlease.com</t>
  </si>
  <si>
    <t>08:19</t>
  </si>
  <si>
    <t>29-08-2026 18:05:00</t>
  </si>
  <si>
    <t>MYQ-HYD</t>
  </si>
  <si>
    <t>'11808181608291615</t>
  </si>
  <si>
    <t>DW26/833735</t>
  </si>
  <si>
    <t>28-08-2026 14:00:00</t>
  </si>
  <si>
    <t>Hyderabad-Mysore</t>
  </si>
  <si>
    <t>6E-7126</t>
  </si>
  <si>
    <t>RBH4UJ</t>
  </si>
  <si>
    <t>200118081815</t>
  </si>
  <si>
    <t>28-08-2026 15:55:00</t>
  </si>
  <si>
    <t>HYD-MYQ</t>
  </si>
  <si>
    <t>'11808181508281400</t>
  </si>
  <si>
    <t>16:35</t>
  </si>
  <si>
    <t>15:52</t>
  </si>
  <si>
    <t>18:41</t>
  </si>
  <si>
    <t>DW26/833890</t>
  </si>
  <si>
    <t>Premier BD</t>
  </si>
  <si>
    <t>MR. VIKASH SHARMA</t>
  </si>
  <si>
    <t>T12988</t>
  </si>
  <si>
    <t>26-08-2026 13:05:00</t>
  </si>
  <si>
    <t>New Delhi-Jharsuguda</t>
  </si>
  <si>
    <t>6E-6053</t>
  </si>
  <si>
    <t>S81BHF</t>
  </si>
  <si>
    <t>18:32</t>
  </si>
  <si>
    <t>200118091876</t>
  </si>
  <si>
    <t>vikash.sharma@teamlease.com</t>
  </si>
  <si>
    <t>MR. Vikash Sharma</t>
  </si>
  <si>
    <t>26-08-2026 14:55:00</t>
  </si>
  <si>
    <t>DEL-JRG</t>
  </si>
  <si>
    <t>'11809187608261305</t>
  </si>
  <si>
    <t>27-AUG-2026</t>
  </si>
  <si>
    <t>DW26/840946</t>
  </si>
  <si>
    <t>02-09-2026 20:45:00</t>
  </si>
  <si>
    <t>VC3TTJ</t>
  </si>
  <si>
    <t>11:22</t>
  </si>
  <si>
    <t>200118099614</t>
  </si>
  <si>
    <t>'11809961409022045</t>
  </si>
  <si>
    <t>29-AUG-2026</t>
  </si>
  <si>
    <t>DW26/848307</t>
  </si>
  <si>
    <t>MR. SHASHWAT SAGAR DUBEY</t>
  </si>
  <si>
    <t>T13872</t>
  </si>
  <si>
    <t>01-09-2026 09:45:00</t>
  </si>
  <si>
    <t>New Delhi-Jodhpur</t>
  </si>
  <si>
    <t>6E-2298</t>
  </si>
  <si>
    <t>Z48MNE</t>
  </si>
  <si>
    <t>18:06</t>
  </si>
  <si>
    <t>200118124580</t>
  </si>
  <si>
    <t>shashwat.dubey@teamlease.com</t>
  </si>
  <si>
    <t>MR. Shashwat Sagar Dubey</t>
  </si>
  <si>
    <t>01-09-2026 10:55:00</t>
  </si>
  <si>
    <t>DEL-JDH</t>
  </si>
  <si>
    <t>'11812458009010945</t>
  </si>
  <si>
    <t>DW26/844617</t>
  </si>
  <si>
    <t>Jodhpur-New Delhi</t>
  </si>
  <si>
    <t>6E-2299</t>
  </si>
  <si>
    <t>DYS24G</t>
  </si>
  <si>
    <t>200118124581</t>
  </si>
  <si>
    <t>03-09-2026 13:00:00</t>
  </si>
  <si>
    <t>JDH-DEL</t>
  </si>
  <si>
    <t>'11812458109031135</t>
  </si>
  <si>
    <t>23:27</t>
  </si>
  <si>
    <t>30-AUG-2026</t>
  </si>
  <si>
    <t>DA26/192370</t>
  </si>
  <si>
    <t>28-AUG-2026</t>
  </si>
  <si>
    <t>04-09-2026 07:30:00</t>
  </si>
  <si>
    <t>09:35</t>
  </si>
  <si>
    <t>200118130210</t>
  </si>
  <si>
    <t>09:25</t>
  </si>
  <si>
    <t>'0985809088474</t>
  </si>
  <si>
    <t>DAJ446</t>
  </si>
  <si>
    <t>04-09-2026 09:50:00</t>
  </si>
  <si>
    <t>'11813021009040730</t>
  </si>
  <si>
    <t>DA26/192415</t>
  </si>
  <si>
    <t>31-08-2026 16:10:00</t>
  </si>
  <si>
    <t>AI-1805</t>
  </si>
  <si>
    <t>10:23</t>
  </si>
  <si>
    <t>200118130772</t>
  </si>
  <si>
    <t>08:28</t>
  </si>
  <si>
    <t>'0985809093019</t>
  </si>
  <si>
    <t>DAZ5OE</t>
  </si>
  <si>
    <t>31-08-2026 18:40:00</t>
  </si>
  <si>
    <t>'11813077208311610</t>
  </si>
  <si>
    <t>DW26/857059</t>
  </si>
  <si>
    <t>Impact</t>
  </si>
  <si>
    <t>MR. VARUN MAHESHWARI</t>
  </si>
  <si>
    <t>T15657</t>
  </si>
  <si>
    <t>04-09-2026 19:45:00</t>
  </si>
  <si>
    <t>6E-6049</t>
  </si>
  <si>
    <t>BB56NW</t>
  </si>
  <si>
    <t>200118152635</t>
  </si>
  <si>
    <t>varun.maheshwari@teamlease.com</t>
  </si>
  <si>
    <t>04-09-2026 21:55:00</t>
  </si>
  <si>
    <t>'11815263509041945</t>
  </si>
  <si>
    <t>01-SEP-2026</t>
  </si>
  <si>
    <t>DW26/857148</t>
  </si>
  <si>
    <t>31-08-2026 18:30:00</t>
  </si>
  <si>
    <t>New Delhi-Vadodara</t>
  </si>
  <si>
    <t>6E-5014</t>
  </si>
  <si>
    <t>C69H3F</t>
  </si>
  <si>
    <t>20:09</t>
  </si>
  <si>
    <t>200118154275</t>
  </si>
  <si>
    <t>31-08-2026 19:55:00</t>
  </si>
  <si>
    <t>DEL-BDQ</t>
  </si>
  <si>
    <t>'11815427508311830</t>
  </si>
  <si>
    <t>DA26/194567</t>
  </si>
  <si>
    <t>MR. SIDDHARTHA BOSE</t>
  </si>
  <si>
    <t>T17566</t>
  </si>
  <si>
    <t>04-09-2026 19:40:00</t>
  </si>
  <si>
    <t>AI-2709</t>
  </si>
  <si>
    <t>200118158130</t>
  </si>
  <si>
    <t>siddhartha.bose@teamlease.com</t>
  </si>
  <si>
    <t>15:44</t>
  </si>
  <si>
    <t>'0985809133822</t>
  </si>
  <si>
    <t>EE2VTI</t>
  </si>
  <si>
    <t>Mr. SIDDHARTHA BOSE</t>
  </si>
  <si>
    <t>04-09-2026 21:50:00</t>
  </si>
  <si>
    <t>'11815813009041940</t>
  </si>
  <si>
    <t>DW26/863827</t>
  </si>
  <si>
    <t>01-09-2026 09:05:00</t>
  </si>
  <si>
    <t>QP-1802</t>
  </si>
  <si>
    <t>D8MDXW</t>
  </si>
  <si>
    <t>200118158503</t>
  </si>
  <si>
    <t>R1</t>
  </si>
  <si>
    <t>01-09-2026 11:25:00</t>
  </si>
  <si>
    <t>'11815850309010905</t>
  </si>
  <si>
    <t>31-AUG-2026</t>
  </si>
  <si>
    <t>New Delhi-Bhopal</t>
  </si>
  <si>
    <t>IX-1789</t>
  </si>
  <si>
    <t>DEL-BHO</t>
  </si>
  <si>
    <t>DW26/870675</t>
  </si>
  <si>
    <t>MR. NAKUL JOSHI</t>
  </si>
  <si>
    <t>T15226</t>
  </si>
  <si>
    <t>02-09-2026 07:30:00</t>
  </si>
  <si>
    <t>Mumbai-Bhopal</t>
  </si>
  <si>
    <t>6E-6128</t>
  </si>
  <si>
    <t>ZIHIME</t>
  </si>
  <si>
    <t>15:58</t>
  </si>
  <si>
    <t>200118175743</t>
  </si>
  <si>
    <t>nakul.joshi@teamlease.com</t>
  </si>
  <si>
    <t>02-09-2026 09:00:00</t>
  </si>
  <si>
    <t>BOM-BHO</t>
  </si>
  <si>
    <t>'11817574309020730</t>
  </si>
  <si>
    <t>DW26/871267</t>
  </si>
  <si>
    <t>04-09-2026 15:20:00</t>
  </si>
  <si>
    <t>IX-1790</t>
  </si>
  <si>
    <t>V8J36T</t>
  </si>
  <si>
    <t>200118176211</t>
  </si>
  <si>
    <t>04-09-2026 16:50:00</t>
  </si>
  <si>
    <t>'11817621109041520</t>
  </si>
  <si>
    <t>DW26/870937</t>
  </si>
  <si>
    <t>02-09-2026 08:35:00</t>
  </si>
  <si>
    <t>E91NGQ</t>
  </si>
  <si>
    <t>200118176431</t>
  </si>
  <si>
    <t>02-09-2026 10:05:00</t>
  </si>
  <si>
    <t>'11817643109020835</t>
  </si>
  <si>
    <t>Total</t>
  </si>
  <si>
    <t>Statement Summary</t>
  </si>
  <si>
    <t>Airline Domestic Debit</t>
  </si>
  <si>
    <t>Airline Domestic Misc. Debit</t>
  </si>
  <si>
    <t>Rail Debit</t>
  </si>
  <si>
    <t>Bus Debit</t>
  </si>
  <si>
    <t>Hotel Debit</t>
  </si>
  <si>
    <t>Airline Domestic Credit</t>
  </si>
  <si>
    <t>Rail Credit</t>
  </si>
  <si>
    <t>Hotel Credit</t>
  </si>
  <si>
    <t>Total Due</t>
  </si>
  <si>
    <t>Domestic Air Travel Miscellaneous Statement for the period 16-08-2026 to 31-08-2026</t>
  </si>
  <si>
    <t>Main Inv. No.</t>
  </si>
  <si>
    <t>Main Inv. Date</t>
  </si>
  <si>
    <t>APPROVER_EMP_ID</t>
  </si>
  <si>
    <t>APPROVER_BAND</t>
  </si>
  <si>
    <t xml:space="preserve">19/08/2026 </t>
  </si>
  <si>
    <t>Mr.ShantanuRooj</t>
  </si>
  <si>
    <t>19-08-2026 12:00:00 AM</t>
  </si>
  <si>
    <t>TEAMLEASE EDTECH LIMITED</t>
  </si>
  <si>
    <t>Seat Charges</t>
  </si>
  <si>
    <t>23/08/2026 11:35</t>
  </si>
  <si>
    <t xml:space="preserve">23/08/2026 </t>
  </si>
  <si>
    <t>MW26/42976</t>
  </si>
  <si>
    <t>Mr. UDITENDU BOSE</t>
  </si>
  <si>
    <t>21-08-2026 12:00:00 AM</t>
  </si>
  <si>
    <t>28-08-2026 12:00:00 AM</t>
  </si>
  <si>
    <t>19/08/2026</t>
  </si>
  <si>
    <t>AIR INDIA LTD.</t>
  </si>
  <si>
    <t>18-08-2026 12:00:00 AM</t>
  </si>
  <si>
    <t>DD26/6247</t>
  </si>
  <si>
    <t>BOSE/UDITENDU MR</t>
  </si>
  <si>
    <t>27-08-2026 12:00:00 AM</t>
  </si>
  <si>
    <t>AI2771</t>
  </si>
  <si>
    <t>Mr.ShantanuRooj,Mr.ShantanuRooj</t>
  </si>
  <si>
    <t>Approved,Approved</t>
  </si>
  <si>
    <t>19-AUG-2026,19-AUG-2026</t>
  </si>
  <si>
    <t>27/08/2026</t>
  </si>
  <si>
    <t>SG0014,SG0014</t>
  </si>
  <si>
    <t>LST,LST</t>
  </si>
  <si>
    <t>26-08-2026 12:00:00 AM</t>
  </si>
  <si>
    <t>20-08-2026 12:00:00 AM</t>
  </si>
  <si>
    <t>25-08-2026 12:00:00 AM</t>
  </si>
  <si>
    <t>DD26/6814</t>
  </si>
  <si>
    <t>30/08/2026</t>
  </si>
  <si>
    <t>31-08-2026 12:00:00 AM</t>
  </si>
  <si>
    <t>AI1805</t>
  </si>
  <si>
    <t>31/08/2026</t>
  </si>
  <si>
    <t>29-08-2026 12:00:00 AM</t>
  </si>
  <si>
    <t>30-08-2026 12:00:00 AM</t>
  </si>
  <si>
    <t>Purpose</t>
  </si>
  <si>
    <t>Referred By</t>
  </si>
  <si>
    <t>27-08-2026</t>
  </si>
  <si>
    <t>25-08-2026</t>
  </si>
  <si>
    <t>Rail Travel Statement for the period 16-08-2026 to 31-08-2026</t>
  </si>
  <si>
    <t>Train</t>
  </si>
  <si>
    <t>PNR No.</t>
  </si>
  <si>
    <t>Rail Transation ID</t>
  </si>
  <si>
    <t>Rail Portal Code</t>
  </si>
  <si>
    <t>Self Arranged</t>
  </si>
  <si>
    <t>Train Quota</t>
  </si>
  <si>
    <t>Sector Short</t>
  </si>
  <si>
    <t>State Name</t>
  </si>
  <si>
    <t>KM</t>
  </si>
  <si>
    <t>PROJECT</t>
  </si>
  <si>
    <t>Gst Invoice No</t>
  </si>
  <si>
    <t>Supplier GST No</t>
  </si>
  <si>
    <t>Taxable Amt</t>
  </si>
  <si>
    <t>CGST Rate</t>
  </si>
  <si>
    <t>CGST Amt</t>
  </si>
  <si>
    <t>SGST UGST Rate</t>
  </si>
  <si>
    <t>SGST UGST Amt</t>
  </si>
  <si>
    <t>IGST Rate</t>
  </si>
  <si>
    <t>IGST Amt</t>
  </si>
  <si>
    <t>Total Tax</t>
  </si>
  <si>
    <t>APPROVER_GRADE</t>
  </si>
  <si>
    <t>APPROVER_EMPID</t>
  </si>
  <si>
    <t>GST_NO</t>
  </si>
  <si>
    <t>3A</t>
  </si>
  <si>
    <t>EAKDANTA ENTERPRISES</t>
  </si>
  <si>
    <t>TATKAL</t>
  </si>
  <si>
    <t>Rail Service</t>
  </si>
  <si>
    <t>LW26/154872</t>
  </si>
  <si>
    <t>MR. PREETISH GUPTA</t>
  </si>
  <si>
    <t>SG0516</t>
  </si>
  <si>
    <t>BORIVALI - BVI-GANDHINAGAR CAP - GNC</t>
  </si>
  <si>
    <t>ADI SHATABDI EXP</t>
  </si>
  <si>
    <t>CC</t>
  </si>
  <si>
    <t>600117938493</t>
  </si>
  <si>
    <t xml:space="preserve"> 8152258307</t>
  </si>
  <si>
    <t>16-08-2026 09:16:03 AM</t>
  </si>
  <si>
    <t>BVI-GNC</t>
  </si>
  <si>
    <t>'11793849301388534</t>
  </si>
  <si>
    <t>SIDDHIVINAYAK TOUR &amp; TRAVELS</t>
  </si>
  <si>
    <t>07AAAGM0289C1ZL</t>
  </si>
  <si>
    <t>AKHTAR HOSSAIN</t>
  </si>
  <si>
    <t>GENERAL</t>
  </si>
  <si>
    <t>LW26/156223</t>
  </si>
  <si>
    <t>MUMBAI CENTRAL - MMCT-VADODARA JN - BRC</t>
  </si>
  <si>
    <t xml:space="preserve"> ADI SHATABDI EX</t>
  </si>
  <si>
    <t>600117949444</t>
  </si>
  <si>
    <t xml:space="preserve"> 100006776270404</t>
  </si>
  <si>
    <t>GUPTA TRAVELS PUNE</t>
  </si>
  <si>
    <t>13-08-2026 04:42:02 PM</t>
  </si>
  <si>
    <t>MMCT-BRC</t>
  </si>
  <si>
    <t>'11794944402413020</t>
  </si>
  <si>
    <t>LW26/155606</t>
  </si>
  <si>
    <t>MR. MALLA HARI KRISHNA NA</t>
  </si>
  <si>
    <t>T14999</t>
  </si>
  <si>
    <t>62-MUM-USP</t>
  </si>
  <si>
    <t>VIJAYAWADA JN - BZA-ANANTAPUR - ATP</t>
  </si>
  <si>
    <t>MTM DMM EXP</t>
  </si>
  <si>
    <t>Mr. VENKATA SWAMI NAIDU SURISETTY</t>
  </si>
  <si>
    <t>600117954902</t>
  </si>
  <si>
    <t xml:space="preserve"> 4343122003</t>
  </si>
  <si>
    <t>17-08-2026 12:17:48 PM</t>
  </si>
  <si>
    <t>BZA-ATP</t>
  </si>
  <si>
    <t>'11795490201919861</t>
  </si>
  <si>
    <t>PS26434312200311</t>
  </si>
  <si>
    <t>T16637</t>
  </si>
  <si>
    <t>LW26/155922</t>
  </si>
  <si>
    <t>VISHAKAPATNAM - VSKP-VIJAYAWADA JN - BZA</t>
  </si>
  <si>
    <t>RATNANCHAL SF EX</t>
  </si>
  <si>
    <t>2S</t>
  </si>
  <si>
    <t>600117954881</t>
  </si>
  <si>
    <t xml:space="preserve"> 6948256362</t>
  </si>
  <si>
    <t>BHARAT TRAVELS</t>
  </si>
  <si>
    <t>VSKP-BZA</t>
  </si>
  <si>
    <t>'11795488101919861</t>
  </si>
  <si>
    <t>PS26694825636211</t>
  </si>
  <si>
    <t>LW26/156901</t>
  </si>
  <si>
    <t>NELLORE - NLR-VIJAYAWADA JN - BZA</t>
  </si>
  <si>
    <t>SIMHAPURI SF EX</t>
  </si>
  <si>
    <t>3E</t>
  </si>
  <si>
    <t>600117963586</t>
  </si>
  <si>
    <t xml:space="preserve"> 100006777333268</t>
  </si>
  <si>
    <t>17-08-2026 05:07:16 PM</t>
  </si>
  <si>
    <t>NLR-BZA</t>
  </si>
  <si>
    <t>'11796358601919861</t>
  </si>
  <si>
    <t>PS26476310501311</t>
  </si>
  <si>
    <t>VANDE BHARAT EXP</t>
  </si>
  <si>
    <t>2A</t>
  </si>
  <si>
    <t xml:space="preserve"> 07AAAGM0289C1ZL</t>
  </si>
  <si>
    <t>LW26/157627</t>
  </si>
  <si>
    <t>KAMAKHYA - KYQ-PATNA JN - PNBE</t>
  </si>
  <si>
    <t>CAPITAL EXPRESS</t>
  </si>
  <si>
    <t>Mr. MAHESH KUMAR</t>
  </si>
  <si>
    <t>600117975205</t>
  </si>
  <si>
    <t xml:space="preserve"> 6608204369</t>
  </si>
  <si>
    <t>Akbar - 1</t>
  </si>
  <si>
    <t>18-08-2026 12:04:50 PM</t>
  </si>
  <si>
    <t>KYQ-PNBE</t>
  </si>
  <si>
    <t>'11797520506003228</t>
  </si>
  <si>
    <t>PS26660820436911</t>
  </si>
  <si>
    <t>igandhi00239</t>
  </si>
  <si>
    <t>C SAMBHAJINAGAR - CPSN-MUMBAI CST - CSMT</t>
  </si>
  <si>
    <t>CPSN-CSMT</t>
  </si>
  <si>
    <t>LW26/162124</t>
  </si>
  <si>
    <t>MR. ABHISHEK MATONDKAR</t>
  </si>
  <si>
    <t>T17720</t>
  </si>
  <si>
    <t>BORIVALI - BVI-SURAT - ST</t>
  </si>
  <si>
    <t>MR. Preetish Gupta</t>
  </si>
  <si>
    <t>600118029094</t>
  </si>
  <si>
    <t xml:space="preserve"> 8940700511</t>
  </si>
  <si>
    <t>20-08-2026 06:23:06 PM</t>
  </si>
  <si>
    <t>BVI-ST</t>
  </si>
  <si>
    <t>'11802909407403372</t>
  </si>
  <si>
    <t>PS26894070051111</t>
  </si>
  <si>
    <t>LW26/164005</t>
  </si>
  <si>
    <t>MUMBAI CST (CSMT) - CSMT-C SAMBHAJINAGAR - CPSN</t>
  </si>
  <si>
    <t>NED VANDEBHARAT</t>
  </si>
  <si>
    <t>600118055399</t>
  </si>
  <si>
    <t xml:space="preserve"> 8752577922</t>
  </si>
  <si>
    <t>22-08-2026 03:37:52 PM</t>
  </si>
  <si>
    <t>CSMT-CPSN</t>
  </si>
  <si>
    <t>'11805539902413020</t>
  </si>
  <si>
    <t>PS26875257792211</t>
  </si>
  <si>
    <t>LW26/164098</t>
  </si>
  <si>
    <t>AHMEDABAD JN - ADI-BORIVALI - BVI</t>
  </si>
  <si>
    <t>600118052657</t>
  </si>
  <si>
    <t xml:space="preserve"> 100006789472344</t>
  </si>
  <si>
    <t>22-08-2026 12:50:32 PM</t>
  </si>
  <si>
    <t>ADI-BVI</t>
  </si>
  <si>
    <t>'11805265702413020</t>
  </si>
  <si>
    <t>PS26835256303911</t>
  </si>
  <si>
    <t>02-SEP-2026</t>
  </si>
  <si>
    <t>LW26/166726</t>
  </si>
  <si>
    <t>JHANSI C B - JCO-AGRA CANTT - AGC</t>
  </si>
  <si>
    <t>Mr. JAIDEEP KEWALRAMANI</t>
  </si>
  <si>
    <t>600118102038</t>
  </si>
  <si>
    <t xml:space="preserve"> 2742577678</t>
  </si>
  <si>
    <t>26-08-2026 11:15:18 AM</t>
  </si>
  <si>
    <t>JCO-AGC</t>
  </si>
  <si>
    <t>'11810203801388479</t>
  </si>
  <si>
    <t xml:space="preserve"> PS26274257767811</t>
  </si>
  <si>
    <t>LW26/166954</t>
  </si>
  <si>
    <t>DEVAGIRI EXP</t>
  </si>
  <si>
    <t>600118099770</t>
  </si>
  <si>
    <t xml:space="preserve"> 4863577613</t>
  </si>
  <si>
    <t>25-08-2026 01:09:39 PM</t>
  </si>
  <si>
    <t>'11809977002413020</t>
  </si>
  <si>
    <t>PS26486357761311</t>
  </si>
  <si>
    <t>LW26/168101</t>
  </si>
  <si>
    <t>MR. BIPIN KUMAR TIWARI</t>
  </si>
  <si>
    <t>T16960</t>
  </si>
  <si>
    <t>72-MUM-HBC</t>
  </si>
  <si>
    <t>H NIZAMUDDIN - NZM-V LAKSHMIBAI - VGLJ</t>
  </si>
  <si>
    <t>MR. Chetan Dixit</t>
  </si>
  <si>
    <t>600118123120</t>
  </si>
  <si>
    <t xml:space="preserve"> 2958012094</t>
  </si>
  <si>
    <t>27-08-2026 03:33:04 PM</t>
  </si>
  <si>
    <t>NZM-VGLJ</t>
  </si>
  <si>
    <t>'11812312005920959</t>
  </si>
  <si>
    <t>PS26295801209411</t>
  </si>
  <si>
    <t>LW26/168100</t>
  </si>
  <si>
    <t>MR. SHUBHAM DUBEY</t>
  </si>
  <si>
    <t>T15255</t>
  </si>
  <si>
    <t>600118123113</t>
  </si>
  <si>
    <t>27-08-2026 03:27:20 PM</t>
  </si>
  <si>
    <t>'11812311302467576</t>
  </si>
  <si>
    <t>LW26/169345</t>
  </si>
  <si>
    <t>V LAKSHMIBAI - VGLJ-H NIZAMUDDIN - NZM</t>
  </si>
  <si>
    <t>600118140227</t>
  </si>
  <si>
    <t xml:space="preserve"> 2523921693</t>
  </si>
  <si>
    <t>VGLJ-NZM</t>
  </si>
  <si>
    <t>'11814022705920959</t>
  </si>
  <si>
    <t>PS26252392169311</t>
  </si>
  <si>
    <t>Bus Travel Statement for the period 16-08-2026 to 31-08-2026</t>
  </si>
  <si>
    <t>Bus Type</t>
  </si>
  <si>
    <t>Seat No.</t>
  </si>
  <si>
    <t>Trip Unique Id</t>
  </si>
  <si>
    <t>Travels Name</t>
  </si>
  <si>
    <t>17-08-2026</t>
  </si>
  <si>
    <t>Bharat Benz A/C Sleeper (2+1)</t>
  </si>
  <si>
    <t>18-08-2026</t>
  </si>
  <si>
    <t>21-08-2026</t>
  </si>
  <si>
    <t>20-08-2026</t>
  </si>
  <si>
    <t>22-08-2026</t>
  </si>
  <si>
    <t>22-08-2026 12:00:00 AM</t>
  </si>
  <si>
    <t>23-08-2026</t>
  </si>
  <si>
    <t>23-08-2026 12:00:00 AM</t>
  </si>
  <si>
    <t>31-08-2026</t>
  </si>
  <si>
    <t>MW26/45813</t>
  </si>
  <si>
    <t>29-08-2026 08:08:43 PM</t>
  </si>
  <si>
    <t>01-09-2026 09:00:00 PM</t>
  </si>
  <si>
    <t>Baroda - Pune</t>
  </si>
  <si>
    <t>9B6976AV</t>
  </si>
  <si>
    <t>Shrinath Solitaire</t>
  </si>
  <si>
    <t>01-09-2026</t>
  </si>
  <si>
    <t>'73059702897978</t>
  </si>
  <si>
    <t>Hotel Statement for the period 16-08-2026 to 31-08-2026</t>
  </si>
  <si>
    <t>Employee Id</t>
  </si>
  <si>
    <t>Employee Name</t>
  </si>
  <si>
    <t>Check In Date</t>
  </si>
  <si>
    <t>Check Out Date</t>
  </si>
  <si>
    <t>No. of Rooms</t>
  </si>
  <si>
    <t>No. of Nights</t>
  </si>
  <si>
    <t>Hotel City</t>
  </si>
  <si>
    <t>Hotel State</t>
  </si>
  <si>
    <t>Hotel Name</t>
  </si>
  <si>
    <t>Base Fare</t>
  </si>
  <si>
    <t>HCP_DISCOUNT_AMOUNT</t>
  </si>
  <si>
    <t>BASE_LESS_HCP</t>
  </si>
  <si>
    <t>GST</t>
  </si>
  <si>
    <t>HCP_TAX_AMOUNT</t>
  </si>
  <si>
    <t>GST_SUB_LESS_TAX</t>
  </si>
  <si>
    <t>Extra Guest Charge</t>
  </si>
  <si>
    <t>Hotel Service Charge</t>
  </si>
  <si>
    <t>Discount</t>
  </si>
  <si>
    <t>Q2T Invoice Amount</t>
  </si>
  <si>
    <t>Estimated Cost</t>
  </si>
  <si>
    <t>Booking Status</t>
  </si>
  <si>
    <t>Cancellation Reason</t>
  </si>
  <si>
    <t>Cancel Date &amp; Time</t>
  </si>
  <si>
    <t>Client GST No.</t>
  </si>
  <si>
    <t>GST Assured</t>
  </si>
  <si>
    <t>Emp Grade</t>
  </si>
  <si>
    <t>First Approver Name</t>
  </si>
  <si>
    <t>API Used</t>
  </si>
  <si>
    <t>Booking Id</t>
  </si>
  <si>
    <t>Hotel Group</t>
  </si>
  <si>
    <t>Location Name</t>
  </si>
  <si>
    <t>Hotel Type</t>
  </si>
  <si>
    <t>Occupancy type</t>
  </si>
  <si>
    <t>first Approval Date</t>
  </si>
  <si>
    <t>first Approval time</t>
  </si>
  <si>
    <t>secound Approval Date</t>
  </si>
  <si>
    <t>secound Approval time</t>
  </si>
  <si>
    <t>Agent Number</t>
  </si>
  <si>
    <t>APPROVER_EMP_ID1</t>
  </si>
  <si>
    <t>APPROVER_EMP_ID2</t>
  </si>
  <si>
    <t>APPROVER_GRADE1</t>
  </si>
  <si>
    <t>APPROVER_GRADE2</t>
  </si>
  <si>
    <t>16-08-2026 12:00:00 AM</t>
  </si>
  <si>
    <t>19-08-2026 12:00:00 PM</t>
  </si>
  <si>
    <t>Aurangabad</t>
  </si>
  <si>
    <t>Spree Hotel Aurangabad</t>
  </si>
  <si>
    <t>Booked</t>
  </si>
  <si>
    <t>MMT</t>
  </si>
  <si>
    <t>D</t>
  </si>
  <si>
    <t>Single</t>
  </si>
  <si>
    <t>20-08-2026 12:00:00 PM</t>
  </si>
  <si>
    <t>Uttarakhand</t>
  </si>
  <si>
    <t>Radisson</t>
  </si>
  <si>
    <t>28-08-2026 11:00:00 AM</t>
  </si>
  <si>
    <t>IHCL - Ginger Hotels</t>
  </si>
  <si>
    <t>21-08-2026 12:00:00 PM</t>
  </si>
  <si>
    <t>Lemon Tree Hotels</t>
  </si>
  <si>
    <t>21-08-2026 11:00:00 AM</t>
  </si>
  <si>
    <t>Sarovar Group of Hotels</t>
  </si>
  <si>
    <t>24-08-2026 12:00:00 PM</t>
  </si>
  <si>
    <t>17-08-2026 12:00:00 AM</t>
  </si>
  <si>
    <t>24-08-2026 02:00:00 PM</t>
  </si>
  <si>
    <t>27-08-2026 12:00:00 PM</t>
  </si>
  <si>
    <t>Bhopal</t>
  </si>
  <si>
    <t>HW26/350900</t>
  </si>
  <si>
    <t>500117962121</t>
  </si>
  <si>
    <t>Mr. Malla Hari Krishna Na</t>
  </si>
  <si>
    <t>Nellore</t>
  </si>
  <si>
    <t>Hotel Inn The Centre</t>
  </si>
  <si>
    <t>NH13100509867280</t>
  </si>
  <si>
    <t>Royal Orchid Group</t>
  </si>
  <si>
    <t>HW26/351987</t>
  </si>
  <si>
    <t>500117967831</t>
  </si>
  <si>
    <t>Mr. Roshan Deepak Pinto</t>
  </si>
  <si>
    <t>24-08-2026 01:00:00 PM</t>
  </si>
  <si>
    <t>26-08-2026 12:00:00 PM</t>
  </si>
  <si>
    <t>Noida</t>
  </si>
  <si>
    <t>Mosaic Original, Noida</t>
  </si>
  <si>
    <t>NH17063509952910</t>
  </si>
  <si>
    <t>Mosaic Group</t>
  </si>
  <si>
    <t>HW26/352534</t>
  </si>
  <si>
    <t>500117970189</t>
  </si>
  <si>
    <t>Mr. Ashutosh Dubey</t>
  </si>
  <si>
    <t>25-08-2026 11:00:00 AM</t>
  </si>
  <si>
    <t>Guwahati</t>
  </si>
  <si>
    <t>Assam</t>
  </si>
  <si>
    <t>The Ornate</t>
  </si>
  <si>
    <t>NH15167509996686</t>
  </si>
  <si>
    <t>Aiosell</t>
  </si>
  <si>
    <t>HW26/352639</t>
  </si>
  <si>
    <t>500117970809</t>
  </si>
  <si>
    <t>Mr. Aayush Lal</t>
  </si>
  <si>
    <t>Tada</t>
  </si>
  <si>
    <t>Hotel SRM GRANDEURS</t>
  </si>
  <si>
    <t>NH14054510002466</t>
  </si>
  <si>
    <t>HW26/353638</t>
  </si>
  <si>
    <t>500117975942</t>
  </si>
  <si>
    <t>Mr. Preetish Gupta</t>
  </si>
  <si>
    <t>Associate Sales Director</t>
  </si>
  <si>
    <t>19-08-2026 01:00:00 PM</t>
  </si>
  <si>
    <t>Goldfinch Hotel Bangalore</t>
  </si>
  <si>
    <t>NH10110510050346</t>
  </si>
  <si>
    <t>Goldfinch Hotels</t>
  </si>
  <si>
    <t>14:00</t>
  </si>
  <si>
    <t>Jhansi</t>
  </si>
  <si>
    <t>HW26/356491</t>
  </si>
  <si>
    <t>500117988695</t>
  </si>
  <si>
    <t>Vijayawada</t>
  </si>
  <si>
    <t>Jade Suites - Luxury Boutique Hotel</t>
  </si>
  <si>
    <t>18-08-2026 09:37:19 AM</t>
  </si>
  <si>
    <t>NH16239510227936</t>
  </si>
  <si>
    <t>31-08-2026 02:00:00 PM</t>
  </si>
  <si>
    <t>HW26/362339</t>
  </si>
  <si>
    <t>500118018642</t>
  </si>
  <si>
    <t>Ms. Shrutika Sharma</t>
  </si>
  <si>
    <t>03-09-2026 11:00:00 AM</t>
  </si>
  <si>
    <t>Bloom Hotel  HAL Old Airport Rd</t>
  </si>
  <si>
    <t>MS. Geetika Kohli</t>
  </si>
  <si>
    <t>NH19149510618050</t>
  </si>
  <si>
    <t>Bloom Rooms</t>
  </si>
  <si>
    <t>17:10</t>
  </si>
  <si>
    <t>HW26/362924</t>
  </si>
  <si>
    <t>500118021116</t>
  </si>
  <si>
    <t>Mr. Dinesh Kumar</t>
  </si>
  <si>
    <t>23-08-2026 02:00:00 PM</t>
  </si>
  <si>
    <t>Mr. Nipun SHARMA</t>
  </si>
  <si>
    <t>HW26/365169</t>
  </si>
  <si>
    <t>500118035080</t>
  </si>
  <si>
    <t>Mr. Prathamesh Jadhav</t>
  </si>
  <si>
    <t>23-08-2026 01:00:00 PM</t>
  </si>
  <si>
    <t>27-08-2026 11:00:00 AM</t>
  </si>
  <si>
    <t>Monarch Express, Sri City</t>
  </si>
  <si>
    <t>Plan changed and cancelled.</t>
  </si>
  <si>
    <t>22-08-2026 03:17:58 PM</t>
  </si>
  <si>
    <t>NH14000510876368</t>
  </si>
  <si>
    <t>29-08-2026 12:00:00 PM</t>
  </si>
  <si>
    <t>HW26/366258</t>
  </si>
  <si>
    <t>500118040754</t>
  </si>
  <si>
    <t>Mrs. Srimathi R</t>
  </si>
  <si>
    <t>02-09-2026 12:00:00 PM</t>
  </si>
  <si>
    <t>Nataraj Sarovar Portico</t>
  </si>
  <si>
    <t>Quest Portal is not executing partial cancellation request . Hence as advised by Quest, cancelling it fully and doing a fresh booking for one night stay at Jhansi</t>
  </si>
  <si>
    <t>26-08-2026 02:50:55 PM</t>
  </si>
  <si>
    <t>NH15247510997794</t>
  </si>
  <si>
    <t>HW26/367255</t>
  </si>
  <si>
    <t>500118048222</t>
  </si>
  <si>
    <t>Mr. Shubham Dubey</t>
  </si>
  <si>
    <t>Dehradun</t>
  </si>
  <si>
    <t>Sterling Marbella Dehradun</t>
  </si>
  <si>
    <t>NH15064511149934</t>
  </si>
  <si>
    <t>Sterling group of hotels</t>
  </si>
  <si>
    <t>HW26/367572</t>
  </si>
  <si>
    <t>500118050635</t>
  </si>
  <si>
    <t>Mr. Nakul Joshi</t>
  </si>
  <si>
    <t>26-08-2026 02:00:00 PM</t>
  </si>
  <si>
    <t>The Fern Residency, Aurangabad (Chhatrapati Sambhaji Nagar)</t>
  </si>
  <si>
    <t>NH10192511211644</t>
  </si>
  <si>
    <t>Concept Hospitality</t>
  </si>
  <si>
    <t>23:05</t>
  </si>
  <si>
    <t>HW26/368045</t>
  </si>
  <si>
    <t>500118054130</t>
  </si>
  <si>
    <t>Ms. Deepti Deepti</t>
  </si>
  <si>
    <t>26-08-2026 03:00:00 PM</t>
  </si>
  <si>
    <t>Radisson Blu Hotel Jaipur</t>
  </si>
  <si>
    <t>NH12160511301610</t>
  </si>
  <si>
    <t>05-09-2026 12:00:00 PM</t>
  </si>
  <si>
    <t>HW26/372434</t>
  </si>
  <si>
    <t>500118081806</t>
  </si>
  <si>
    <t>Mr. Khunjamayum David Singh</t>
  </si>
  <si>
    <t>28-08-2026 02:00:00 PM</t>
  </si>
  <si>
    <t>Mysore</t>
  </si>
  <si>
    <t>The Quorum</t>
  </si>
  <si>
    <t>NH15022511736434</t>
  </si>
  <si>
    <t>HW26/372693</t>
  </si>
  <si>
    <t>500118083886</t>
  </si>
  <si>
    <t>T17843</t>
  </si>
  <si>
    <t>Mr. Md Nabeel Anwar</t>
  </si>
  <si>
    <t>Counselor</t>
  </si>
  <si>
    <t>Ginger Jamshedpur</t>
  </si>
  <si>
    <t>MR.  VIVEK KUMAR</t>
  </si>
  <si>
    <t>NH18165511758134</t>
  </si>
  <si>
    <t>T16451</t>
  </si>
  <si>
    <t>HW26/374009</t>
  </si>
  <si>
    <t>500118091652</t>
  </si>
  <si>
    <t>Mr. Vikash Sharma</t>
  </si>
  <si>
    <t>Sambalpur</t>
  </si>
  <si>
    <t>Regenta Inn Sambalpur</t>
  </si>
  <si>
    <t>NH18165511845784</t>
  </si>
  <si>
    <t>26-08-2026</t>
  </si>
  <si>
    <t>HW26/375275</t>
  </si>
  <si>
    <t>500118099613</t>
  </si>
  <si>
    <t>01-09-2026 03:00:00 PM</t>
  </si>
  <si>
    <t>Agra</t>
  </si>
  <si>
    <t>Radisson Hotel Agra</t>
  </si>
  <si>
    <t>NH11005511986212</t>
  </si>
  <si>
    <t>01-09-2026 12:00:00 PM</t>
  </si>
  <si>
    <t>HW26/377302</t>
  </si>
  <si>
    <t>500118113144</t>
  </si>
  <si>
    <t>NH14052512183086</t>
  </si>
  <si>
    <t>03:24</t>
  </si>
  <si>
    <t>HW26/377692</t>
  </si>
  <si>
    <t>500118116825</t>
  </si>
  <si>
    <t>01-09-2026 02:00:00 PM</t>
  </si>
  <si>
    <t>Lemon Tree Hotel Agra</t>
  </si>
  <si>
    <t>NH10087512232078</t>
  </si>
  <si>
    <t>12:01</t>
  </si>
  <si>
    <t>HW26/378220</t>
  </si>
  <si>
    <t>500118121153</t>
  </si>
  <si>
    <t>Mr. Bipin Kumar Tiwari</t>
  </si>
  <si>
    <t>02-09-2026 10:00:00 AM</t>
  </si>
  <si>
    <t>Hotel K3 Club Residency</t>
  </si>
  <si>
    <t>NH10149512279682</t>
  </si>
  <si>
    <t>HW26/378696</t>
  </si>
  <si>
    <t>500118124582</t>
  </si>
  <si>
    <t>Mr. Shashwat Sagar Dubey</t>
  </si>
  <si>
    <t>03-09-2026 12:00:00 PM</t>
  </si>
  <si>
    <t>Jodhpur</t>
  </si>
  <si>
    <t>Park Plaza Jodhpur</t>
  </si>
  <si>
    <t>NH11134512316222</t>
  </si>
  <si>
    <t>HW26/378873</t>
  </si>
  <si>
    <t>500118126012</t>
  </si>
  <si>
    <t>NH13111512332258</t>
  </si>
  <si>
    <t>02-09-2026 02:00:00 PM</t>
  </si>
  <si>
    <t>HW26/381092</t>
  </si>
  <si>
    <t>500118143952</t>
  </si>
  <si>
    <t>Mr. Uditendu Bose</t>
  </si>
  <si>
    <t>04-09-2026 12:00:00 PM</t>
  </si>
  <si>
    <t>Ira by Orchid, Noida</t>
  </si>
  <si>
    <t>NH10107512653102</t>
  </si>
  <si>
    <t>Kamat Group Of Hotels</t>
  </si>
  <si>
    <t>29-08-2026</t>
  </si>
  <si>
    <t>10:12</t>
  </si>
  <si>
    <t>HW26/382937</t>
  </si>
  <si>
    <t>500118158131</t>
  </si>
  <si>
    <t>Mr. Siddhartha Bose</t>
  </si>
  <si>
    <t>NH12023512923424</t>
  </si>
  <si>
    <t>30-08-2026</t>
  </si>
  <si>
    <t>HW26/385388</t>
  </si>
  <si>
    <t>500118176053</t>
  </si>
  <si>
    <t>Regenta Place Bhopal by Royal Orchid Hotels Limited</t>
  </si>
  <si>
    <t>29-08-2026 01:23:48 PM</t>
  </si>
  <si>
    <t>NH12006513180642</t>
  </si>
  <si>
    <t>HW26/385513</t>
  </si>
  <si>
    <t>500118176989</t>
  </si>
  <si>
    <t>04-09-2026 10:00:00 AM</t>
  </si>
  <si>
    <t>Hotel Insignia</t>
  </si>
  <si>
    <t xml:space="preserve">Due to change in plan </t>
  </si>
  <si>
    <t>31-08-2026 05:35:03 PM</t>
  </si>
  <si>
    <t>NH19083513188468</t>
  </si>
  <si>
    <t>Domestic Air Travel Cancellation Statement for the period 16-08-2026 to 31-08-2026</t>
  </si>
  <si>
    <t>Refund Reference No.</t>
  </si>
  <si>
    <t>Refund Reference Date</t>
  </si>
  <si>
    <t>Cancellation Date</t>
  </si>
  <si>
    <t>Xxln Charges</t>
  </si>
  <si>
    <t>Service Chrgs towards xxln</t>
  </si>
  <si>
    <t>Refund Amount</t>
  </si>
  <si>
    <t>Type of Travel</t>
  </si>
  <si>
    <t xml:space="preserve">Passenger Email Id </t>
  </si>
  <si>
    <t>Approver name</t>
  </si>
  <si>
    <t>Approver Status</t>
  </si>
  <si>
    <t>k3</t>
  </si>
  <si>
    <t>Reissue Invoice No</t>
  </si>
  <si>
    <t>SOURCE_CITY</t>
  </si>
  <si>
    <t>DESTINATION_CITY</t>
  </si>
  <si>
    <t>MILES</t>
  </si>
  <si>
    <t>DZ26/137382</t>
  </si>
  <si>
    <t>16-08-2026 11:53:15 AM</t>
  </si>
  <si>
    <t>DW26/774287</t>
  </si>
  <si>
    <t>17-08-2026 05:55:00</t>
  </si>
  <si>
    <t>6E-5144</t>
  </si>
  <si>
    <t>T8PWRS</t>
  </si>
  <si>
    <t>200117917085</t>
  </si>
  <si>
    <t>preetish.gupta@teamlease.com</t>
  </si>
  <si>
    <t>CANCEL:change in plan</t>
  </si>
  <si>
    <t>11:06</t>
  </si>
  <si>
    <t>'11791708508170555</t>
  </si>
  <si>
    <t>BOM</t>
  </si>
  <si>
    <t>AMD</t>
  </si>
  <si>
    <t>DZ26/137376</t>
  </si>
  <si>
    <t>16-08-2026 04:41:07 PM</t>
  </si>
  <si>
    <t>CANCEL:name correction/CANCEL:name correction</t>
  </si>
  <si>
    <t>DEL</t>
  </si>
  <si>
    <t>CNN</t>
  </si>
  <si>
    <t>DZ26/137469</t>
  </si>
  <si>
    <t>CANCEL:name correction</t>
  </si>
  <si>
    <t>MAA</t>
  </si>
  <si>
    <t>DZ26/140066</t>
  </si>
  <si>
    <t>18-08-2026 11:32:54 PM</t>
  </si>
  <si>
    <t>CANCEL:Flight Timing has been rescheduled.</t>
  </si>
  <si>
    <t>DZ26/140351</t>
  </si>
  <si>
    <t>19-08-2026 12:20:32 PM</t>
  </si>
  <si>
    <t>CANCEL:Meeting cancelled</t>
  </si>
  <si>
    <t>CCU</t>
  </si>
  <si>
    <t>DZ26/140545</t>
  </si>
  <si>
    <t>DE26/457846</t>
  </si>
  <si>
    <t>19-08-2026 05:10:10 PM</t>
  </si>
  <si>
    <t>CANCEL:Due to change in plan</t>
  </si>
  <si>
    <t>985808907262</t>
  </si>
  <si>
    <t>DZ26/141702</t>
  </si>
  <si>
    <t>20-08-2026 04:36:43 PM</t>
  </si>
  <si>
    <t>CANCEL:Need to take a later flight as one more meeting has come up</t>
  </si>
  <si>
    <t>DZ26/143941</t>
  </si>
  <si>
    <t>22-08-2026 03:19:21 PM</t>
  </si>
  <si>
    <t>CANCEL:Plan cancelled for the trip.</t>
  </si>
  <si>
    <t>DZ26/144146</t>
  </si>
  <si>
    <t>DZ26/147806</t>
  </si>
  <si>
    <t>26-08-2026 10:50:24 AM</t>
  </si>
  <si>
    <t>CANCEL:Official plans change</t>
  </si>
  <si>
    <t>GWL</t>
  </si>
  <si>
    <t>Cancel Date</t>
  </si>
  <si>
    <t>Rail Travel Cancellation Statement for the period 16-08-2026 to 31-08-2026</t>
  </si>
  <si>
    <t>Travel Mgmt Fee</t>
  </si>
  <si>
    <t>TLSL</t>
  </si>
  <si>
    <t>LZ26/17613</t>
  </si>
  <si>
    <t>LW26/154375</t>
  </si>
  <si>
    <t>600117932495</t>
  </si>
  <si>
    <t>'11793249502413020</t>
  </si>
  <si>
    <t>Loction</t>
  </si>
  <si>
    <t>Hotel Cancellation Statement for the period 16-08-2026 to 31-08-2026</t>
  </si>
  <si>
    <t>Net Amount(Col AN - Col S)</t>
  </si>
  <si>
    <t>Reference Amount</t>
  </si>
  <si>
    <t>Cancel Status</t>
  </si>
  <si>
    <t>Refund Applicability Date</t>
  </si>
  <si>
    <t>Cancellation Penalty</t>
  </si>
  <si>
    <t>Cancelled</t>
  </si>
  <si>
    <t>Full</t>
  </si>
  <si>
    <t>HR26/19078</t>
  </si>
  <si>
    <t>HR26/19678</t>
  </si>
  <si>
    <t>Amount</t>
  </si>
  <si>
    <t xml:space="preserve">Service Chgs </t>
  </si>
  <si>
    <t>MS26-12279</t>
  </si>
  <si>
    <t>Invoice/ Credit Note</t>
  </si>
  <si>
    <t>Travel Month</t>
  </si>
  <si>
    <t>Name of Passenger</t>
  </si>
  <si>
    <t>Emp ID</t>
  </si>
  <si>
    <t>Nature of Transaction</t>
  </si>
  <si>
    <t>Nature of Ticket</t>
  </si>
  <si>
    <t>Amounts</t>
  </si>
  <si>
    <t>Invoice Number</t>
  </si>
  <si>
    <t>Invoice Date</t>
  </si>
  <si>
    <t>gl</t>
  </si>
  <si>
    <t>Narration</t>
  </si>
  <si>
    <t>Vendor ID</t>
  </si>
  <si>
    <t>Submission Date</t>
  </si>
  <si>
    <t>BU</t>
  </si>
  <si>
    <t>Service Month</t>
  </si>
  <si>
    <t>Invoice</t>
  </si>
  <si>
    <t>AUG-26</t>
  </si>
  <si>
    <t>Airways Ticket</t>
  </si>
  <si>
    <t>Airticket</t>
  </si>
  <si>
    <t>V03136</t>
  </si>
  <si>
    <t>06-05-2026</t>
  </si>
  <si>
    <t>Misc</t>
  </si>
  <si>
    <t>Railways Ticket</t>
  </si>
  <si>
    <t>Railticket</t>
  </si>
  <si>
    <t>Bus Ticket</t>
  </si>
  <si>
    <t>Debit</t>
  </si>
  <si>
    <t>Credit Note</t>
  </si>
  <si>
    <t>Credit</t>
  </si>
  <si>
    <t>Bus</t>
  </si>
  <si>
    <t xml:space="preserve">Hotel </t>
  </si>
  <si>
    <t>Sum of Amounts</t>
  </si>
  <si>
    <t>80003-62-MUM-SSS</t>
  </si>
  <si>
    <t>80003-69-MUM-PBP</t>
  </si>
  <si>
    <t>80003-61-MUM-USE</t>
  </si>
  <si>
    <t>80003-72-MUM-HBC</t>
  </si>
  <si>
    <t>80003-62-MUM-USP</t>
  </si>
  <si>
    <t>80003-67-MUM-ELO</t>
  </si>
  <si>
    <t>80003-68-MUM-LED</t>
  </si>
  <si>
    <t>80003-69-MUM-PBD</t>
  </si>
  <si>
    <t>80003-64-BAN-CSS</t>
  </si>
  <si>
    <t>80003-61-MUM-ASO</t>
  </si>
  <si>
    <t>Misc BOSE/UDITENDU MR-SG0320-AUG-26-06-05-2026-Mumbai-Kolkata</t>
  </si>
  <si>
    <t>Misc BOSE/UDITENDU MR-SG0320-AUG-26-06-05-2026-Kolkata-New Delhi</t>
  </si>
  <si>
    <t>Airticket MR. AAYUSH LAL-T16161-AUG-26-06-05-2026-Chennai-New Delhi</t>
  </si>
  <si>
    <t>Airticket MR. AAYUSH LAL-T16161-AUG-26-06-05-2026-New Delhi-Gaya</t>
  </si>
  <si>
    <t>Airticket MR. AAYUSH LAL-T16161-AUG-26-06-05-2026-Ranchi-New Delhi</t>
  </si>
  <si>
    <t>Airticket MR. AAYUSH LAL-T16161-AUG-26-06-05-2026-New Delhi-Chennai</t>
  </si>
  <si>
    <t>Credit MR. AAYUSH LAL-T16161-AUG-26-06-05-2026-New Delhi-Chennai</t>
  </si>
  <si>
    <t>Debit Mr. Aayush Lal-T16161-AUG-26-06-05-2026-Andhra Pradesh</t>
  </si>
  <si>
    <t>Airticket MR. ABDUL FAROOQI-CQ00873076-AUG-26-06-05-2026-New Delhi-Mumbai/Mumbai-Kannur</t>
  </si>
  <si>
    <t>Airticket MR. ABDUL FAROOQI-CQ00873076-AUG-26-06-05-2026-Kannur-New Delhi</t>
  </si>
  <si>
    <t>Credit MR. ABDUL FAROOQI-CQ00873076-AUG-26-06-05-2026-New Delhi-Mumbai/Mumbai-Kannur</t>
  </si>
  <si>
    <t>Credit MR. ABDUL FAROOQI-CQ00873076-AUG-26-06-05-2026-Kannur-New Delhi</t>
  </si>
  <si>
    <t>Airticket MR. ABDUL MAJID FAROOQI-CQ00873076-AUG-26-06-05-2026-Kannur-New Delhi</t>
  </si>
  <si>
    <t>Airticket MR. ABDUL MAJID FAROOQI-CQ00873076-AUG-26-06-05-2026-New Delhi-Mumbai/Mumbai-Kannur</t>
  </si>
  <si>
    <t>Railticket MR. ABHISHEK MATONDKAR-T17720-AUG-26-06-05-2026-BORIVALI - BVI-SURAT - ST</t>
  </si>
  <si>
    <t>Airticket MR. ASHUTOSH DUBEY-T17010-AUG-26-06-05-2026-New Delhi-Guwahati</t>
  </si>
  <si>
    <t>Debit Mr. Ashutosh Dubey-T17010-AUG-26-06-05-2026-Assam</t>
  </si>
  <si>
    <t>Railticket MR. ASHUTOSH DUBEY-T17010-AUG-26-06-05-2026-KAMAKHYA - KYQ-PATNA JN - PNBE</t>
  </si>
  <si>
    <t>Debit Mr. Bipin Kumar Tiwari-T16960-AUG-26-06-05-2026-Uttar Pradesh</t>
  </si>
  <si>
    <t>Railticket MR. BIPIN KUMAR TIWARI-T16960-AUG-26-06-05-2026-H NIZAMUDDIN - NZM-V LAKSHMIBAI - VGLJ</t>
  </si>
  <si>
    <t>Railticket MR. BIPIN KUMAR TIWARI-T16960-AUG-26-06-05-2026-V LAKSHMIBAI - VGLJ-H NIZAMUDDIN - NZM</t>
  </si>
  <si>
    <t>Airticket MR. CHETAN DIXIT-SG0506-AUG-26-06-05-2026-Kannur-New Delhi</t>
  </si>
  <si>
    <t>Airticket MR. CHETAN DIXIT-SG0506-AUG-26-06-05-2026-New Delhi-Mumbai/Mumbai-Kannur</t>
  </si>
  <si>
    <t>Airticket MR. KHUNJAMAYUM DAVID SINGH-T17743-AUG-26-06-05-2026-Mysore-Hyderabad</t>
  </si>
  <si>
    <t>Airticket MR. KHUNJAMAYUM DAVID SINGH-T17743-AUG-26-06-05-2026-Hyderabad-Mysore</t>
  </si>
  <si>
    <t>Debit Mr. Khunjamayum David Singh-T17743-AUG-26-06-05-2026-Karnataka</t>
  </si>
  <si>
    <t>Airticket MR. M A SIKANDAR-CQ00873075-AUG-26-06-05-2026-Kannur-New Delhi</t>
  </si>
  <si>
    <t>Airticket MR. M A SIKANDAR-CQ00873075-AUG-26-06-05-2026-New Delhi-Mumbai/Mumbai-Kannur</t>
  </si>
  <si>
    <t>Debit Mr. Malla Hari Krishna Na-T14999-AUG-26-06-05-2026-Andhra Pradesh</t>
  </si>
  <si>
    <t>Railticket MR. MALLA HARI KRISHNA NA-T14999-AUG-26-06-05-2026-VIJAYAWADA JN - BZA-ANANTAPUR - ATP</t>
  </si>
  <si>
    <t>Railticket MR. MALLA HARI KRISHNA NA-T14999-AUG-26-06-05-2026-VISHAKAPATNAM - VSKP-VIJAYAWADA JN - BZA</t>
  </si>
  <si>
    <t>Railticket MR. MALLA HARI KRISHNA NA-T14999-AUG-26-06-05-2026-NELLORE - NLR-VIJAYAWADA JN - BZA</t>
  </si>
  <si>
    <t>Debit Mr. Md Nabeel Anwar-T17843-AUG-26-06-05-2026-Jharkhand</t>
  </si>
  <si>
    <t>Airticket MR. NAKUL JOSHI-T15226-AUG-26-06-05-2026-Mumbai-Bhopal</t>
  </si>
  <si>
    <t>Debit Mr. Nakul Joshi-T15226-AUG-26-06-05-2026-Maharashtra</t>
  </si>
  <si>
    <t>Debit Mr. Nakul Joshi-T15226-AUG-26-06-05-2026-Madhya Pradesh</t>
  </si>
  <si>
    <t>Railticket MR. NAKUL JOSHI-T15226-AUG-26-06-05-2026-MUMBAI CENTRAL - MMCT-VADODARA JN - BRC</t>
  </si>
  <si>
    <t>Railticket MR. NAKUL JOSHI-T15226-AUG-26-06-05-2026-MUMBAI CST (CSMT) - CSMT-C SAMBHAJINAGAR - CPSN</t>
  </si>
  <si>
    <t>Railticket MR. NAKUL JOSHI-T15226-AUG-26-06-05-2026-AHMEDABAD JN - ADI-BORIVALI - BVI</t>
  </si>
  <si>
    <t>Railticket MR. NAKUL JOSHI-T15226-AUG-26-06-05-2026-C SAMBHAJINAGAR - CPSN-MUMBAI CST - CSMT</t>
  </si>
  <si>
    <t>Credit MR. NAKUL JOSHI-T15226-AUG-26-06-05-2026-MUMBAI CENTRAL - MMCT-VADODARA JN - BRC</t>
  </si>
  <si>
    <t>Airticket MR. PRATHAMESH JADHAV-T16692-AUG-26-06-05-2026-Chennai-Mumbai</t>
  </si>
  <si>
    <t>Airticket MR. PRATHAMESH JADHAV-T16692-AUG-26-06-05-2026-Mumbai-Chennai</t>
  </si>
  <si>
    <t>Credit MR. PRATHAMESH JADHAV-T16692-AUG-26-06-05-2026-Chennai-Mumbai</t>
  </si>
  <si>
    <t>Credit MR. PRATHAMESH JADHAV-T16692-AUG-26-06-05-2026-Mumbai-Chennai</t>
  </si>
  <si>
    <t>Debit Mr. Prathamesh Jadhav-T16692-AUG-26-06-05-2026-Andhra Pradesh</t>
  </si>
  <si>
    <t>Credit MR. PREETISH GUPTA-SG0516-AUG-26-06-05-2026-Mumbai-Ahmedabad</t>
  </si>
  <si>
    <t>Debit Mr. Preetish Gupta-SG0516-AUG-26-06-05-2026-Karnataka</t>
  </si>
  <si>
    <t>Railticket MR. PREETISH GUPTA-SG0516-AUG-26-06-05-2026-BORIVALI - BVI-GANDHINAGAR CAP - GNC</t>
  </si>
  <si>
    <t>Airticket MR. ROSHAN DEEPAK PINTO-T11294-AUG-26-06-05-2026-Bangalore-New Delhi</t>
  </si>
  <si>
    <t>Airticket MR. ROSHAN DEEPAK PINTO-T11294-AUG-26-06-05-2026-New Delhi-Bangalore</t>
  </si>
  <si>
    <t>Debit Mr. Roshan Deepak Pinto-T11294-AUG-26-06-05-2026-Uttar Pradesh</t>
  </si>
  <si>
    <t>Debit Mr. Roshan Deepak Pinto-T11294-AUG-26-06-05-2026-Andhra Pradesh</t>
  </si>
  <si>
    <t>Airticket MR. SHANTANU ROOJ-SG0014-AUG-26-06-05-2026-Mumbai-New Delhi</t>
  </si>
  <si>
    <t>Airticket MR. SHANTANU ROOJ-SG0014-AUG-26-06-05-2026-New Delhi-Mumbai</t>
  </si>
  <si>
    <t>Airticket MR. SHANTANU ROOJ-SG0014-AUG-26-06-05-2026-Mumbai-Ahmedabad</t>
  </si>
  <si>
    <t>Airticket MR. SHANTANU ROOJ-SG0014-AUG-26-06-05-2026-Kolkata-Mumbai</t>
  </si>
  <si>
    <t>Airticket MR. SHANTANU ROOJ-SG0014-AUG-26-06-05-2026-Mumbai-Kolkata</t>
  </si>
  <si>
    <t>Airticket MR. SHANTANU ROOJ-SG0014-AUG-26-06-05-2026-Ahmedabad-Mumbai</t>
  </si>
  <si>
    <t>Credit MR. SHANTANU ROOJ-SG0014-AUG-26-06-05-2026-Kolkata-Mumbai</t>
  </si>
  <si>
    <t>Credit MR. SHANTANU ROOJ-SG0014-AUG-26-06-05-2026-Mumbai-Kolkata</t>
  </si>
  <si>
    <t>Credit MR. SHANTANU ROOJ-SG0014-AUG-26-06-05-2026-New Delhi-Mumbai</t>
  </si>
  <si>
    <t>Airticket MR. SHASHWAT SAGAR DUBEY-T13872-AUG-26-06-05-2026-Jodhpur-New Delhi</t>
  </si>
  <si>
    <t>Airticket MR. SHASHWAT SAGAR DUBEY-T13872-AUG-26-06-05-2026-New Delhi-Jodhpur</t>
  </si>
  <si>
    <t>Debit Mr. Shashwat Sagar Dubey-T13872-AUG-26-06-05-2026-Rajasthan</t>
  </si>
  <si>
    <t>Debit Mr. Shubham Dubey-T15255-AUG-26-06-05-2026-Uttarakhand</t>
  </si>
  <si>
    <t>Debit Mr. Shubham Dubey-T15255-AUG-26-06-05-2026-Uttar Pradesh</t>
  </si>
  <si>
    <t>Railticket MR. SHUBHAM DUBEY-T15255-AUG-26-06-05-2026-H NIZAMUDDIN - NZM-V LAKSHMIBAI - VGLJ</t>
  </si>
  <si>
    <t>Airticket MR. SIDDHARTHA BOSE-T17566-AUG-26-06-05-2026-New Delhi-Kolkata</t>
  </si>
  <si>
    <t>Airticket MR. SIDDHARTHA BOSE-T17566-AUG-26-06-05-2026-Kolkata-New Delhi</t>
  </si>
  <si>
    <t>Debit Mr. Siddhartha Bose-T17566-AUG-26-06-05-2026-Uttar Pradesh</t>
  </si>
  <si>
    <t>Airticket MR. UDITENDU BOSE-SG0320-AUG-26-06-05-2026-Kolkata-Mumbai</t>
  </si>
  <si>
    <t>Airticket MR. UDITENDU BOSE-SG0320-AUG-26-06-05-2026-Mumbai-Kolkata</t>
  </si>
  <si>
    <t>Airticket MR. UDITENDU BOSE-SG0320-AUG-26-06-05-2026-New Delhi-Kolkata</t>
  </si>
  <si>
    <t>Airticket MR. UDITENDU BOSE-SG0320-AUG-26-06-05-2026-Kolkata-New Delhi</t>
  </si>
  <si>
    <t>Credit MR. UDITENDU BOSE-SG0320-AUG-26-06-05-2026-Kolkata-Mumbai</t>
  </si>
  <si>
    <t>Debit Mr. Uditendu Bose-SG0320-AUG-26-06-05-2026-Uttar Pradesh</t>
  </si>
  <si>
    <t>Misc Mr. UDITENDU BOSE-SG0320-AUG-26-06-05-2026-Kolkata-Mumbai</t>
  </si>
  <si>
    <t>Airticket MR. VARUN MAHESHWARI-T15657-AUG-26-06-05-2026-Mumbai-New Delhi</t>
  </si>
  <si>
    <t>Airticket MR. VARUN MAHESHWARI-T15657-AUG-26-06-05-2026-New Delhi-Vadodara</t>
  </si>
  <si>
    <t>Bus MR. VARUN MAHESHWARI-T15657-AUG-26-06-05-2026-Baroda - Pune</t>
  </si>
  <si>
    <t>Airticket MR. VIKASH SHARMA-T12988-AUG-26-06-05-2026-New Delhi-Jharsuguda</t>
  </si>
  <si>
    <t>Debit Mr. Vikash Sharma-T12988-AUG-26-06-05-2026-Odisha</t>
  </si>
  <si>
    <t>Airticket MRS. SRIMATHI R-SG0444-AUG-26-06-05-2026-Gwalior-Mumbai</t>
  </si>
  <si>
    <t>Airticket MRS. SRIMATHI R-SG0444-AUG-26-06-05-2026-Mumbai-Gwalior</t>
  </si>
  <si>
    <t>Airticket MRS. SRIMATHI R-SG0444-AUG-26-06-05-2026-New Delhi-Mumbai</t>
  </si>
  <si>
    <t>Credit MRS. SRIMATHI R-SG0444-AUG-26-06-05-2026-Gwalior-Mumbai</t>
  </si>
  <si>
    <t>Credit Mrs. Srimathi R-SG0444-AUG-26-06-05-2026-Uttar Pradesh</t>
  </si>
  <si>
    <t>Debit Mrs. Srimathi R-SG0444-AUG-26-06-05-2026-Uttar Pradesh</t>
  </si>
  <si>
    <t>Railticket MRS. SRIMATHI R-SG0444-AUG-26-06-05-2026-JHANSI C B - JCO-AGRA CANTT - AGC</t>
  </si>
  <si>
    <t>Airticket MS. DEEPTI DEEPTI-T17404-AUG-26-06-05-2026-Jaipur-New Delhi</t>
  </si>
  <si>
    <t>Airticket MS. DEEPTI DEEPTI-T17404-AUG-26-06-05-2026-New Delhi-Jaipur</t>
  </si>
  <si>
    <t>Airticket MS. DEEPTI DEEPTI-T17404-AUG-26-06-05-2026-New Delhi-Bhopal</t>
  </si>
  <si>
    <t>Airticket MS. DEEPTI DEEPTI-T17404-AUG-26-06-05-2026-Bhopal-New Delhi</t>
  </si>
  <si>
    <t>Credit Ms. Deepti Deepti-T17404-AUG-26-06-05-2026-Madhya Pradesh</t>
  </si>
  <si>
    <t>Debit Ms. Deepti Deepti-T17404-AUG-26-06-05-2026-Rajasthan</t>
  </si>
  <si>
    <t>Debit Ms. Deepti Deepti-T17404-AUG-26-06-05-2026-Madhya Pradesh</t>
  </si>
  <si>
    <t>Airticket MS. SHRUTIKA SHARMA-T16151-AUG-26-06-05-2026-Mumbai-Bangalore</t>
  </si>
  <si>
    <t>Airticket MS. SHRUTIKA SHARMA-T16151-AUG-26-06-05-2026-Bangalore-Mumbai</t>
  </si>
  <si>
    <t>Debit Ms. Shrutika Sharma-T16151-AUG-26-06-05-2026-Karnataka</t>
  </si>
  <si>
    <t>69-MUM-PBO</t>
  </si>
  <si>
    <t>80003-69-MUM-PBO</t>
  </si>
  <si>
    <t>-</t>
  </si>
  <si>
    <t>GL code</t>
  </si>
  <si>
    <t>GL code-gl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</si>
</sst>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[$-F800]dddd\,\ mmmm\ dd\,\ yyyy"/>
  </numFmts>
  <fonts count="6" x14ac:knownFonts="1">
    <font>
      <sz val="11"/>
      <color indexed="8"/>
      <name val="Calibri"/>
    </font>
    <font>
      <b/>
      <sz val="11"/>
      <color indexed="8"/>
      <name val="Calibri"/>
      <family val="2"/>
    </font>
    <font>
      <sz val="11"/>
      <color theme="1"/>
      <name val="Calibri"/>
      <family val="2"/>
    </font>
    <font>
      <b/>
      <sz val="11"/>
      <name val="Calibri"/>
      <family val="2"/>
    </font>
    <font>
      <b/>
      <sz val="11"/>
      <color theme="1"/>
      <name val="Calibri"/>
    </font>
    <font>
      <sz val="11"/>
      <color indexed="8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indexed="10"/>
        <bgColor indexed="8"/>
      </patternFill>
    </fill>
    <fill>
      <patternFill patternType="solid">
        <fgColor rgb="FFFFC000"/>
        <bgColor indexed="8"/>
      </patternFill>
    </fill>
    <fill>
      <patternFill patternType="solid">
        <fgColor theme="0"/>
        <bgColor indexed="8"/>
      </patternFill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0" tint="-0.34998626667073579"/>
      </bottom>
      <diagonal/>
    </border>
  </borders>
  <cellStyleXfs count="1">
    <xf numFmtId="0" fontId="0" fillId="0" borderId="0" applyFill="0" applyProtection="0"/>
  </cellStyleXfs>
  <cellXfs count="26">
    <xf numFmtId="0" fontId="0" fillId="0" borderId="0" xfId="0" applyFill="1" applyProtection="1"/>
    <xf numFmtId="0" fontId="1" fillId="0" borderId="0" xfId="0" applyFont="1" applyFill="1" applyProtection="1"/>
    <xf numFmtId="0" fontId="1" fillId="2" borderId="1" xfId="0" applyFont="1" applyFill="1" applyBorder="1" applyAlignment="1" applyProtection="1">
      <alignment horizontal="center"/>
    </xf>
    <xf numFmtId="0" fontId="1" fillId="2" borderId="1" xfId="0" applyFont="1" applyFill="1" applyBorder="1" applyProtection="1"/>
    <xf numFmtId="0" fontId="1" fillId="3" borderId="1" xfId="0" applyFont="1" applyFill="1" applyBorder="1" applyProtection="1"/>
    <xf numFmtId="0" fontId="0" fillId="0" borderId="1" xfId="0" applyFill="1" applyBorder="1" applyProtection="1"/>
    <xf numFmtId="43" fontId="0" fillId="0" borderId="0" xfId="0" applyNumberFormat="1" applyFill="1" applyProtection="1"/>
    <xf numFmtId="0" fontId="1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2" fillId="5" borderId="1" xfId="0" applyFont="1" applyFill="1" applyBorder="1"/>
    <xf numFmtId="49" fontId="0" fillId="5" borderId="1" xfId="0" quotePrefix="1" applyNumberFormat="1" applyFill="1" applyBorder="1" applyProtection="1"/>
    <xf numFmtId="0" fontId="0" fillId="5" borderId="1" xfId="0" applyFill="1" applyBorder="1" applyProtection="1"/>
    <xf numFmtId="14" fontId="0" fillId="0" borderId="1" xfId="0" applyNumberFormat="1" applyFill="1" applyBorder="1" applyProtection="1"/>
    <xf numFmtId="0" fontId="2" fillId="6" borderId="1" xfId="0" applyFont="1" applyFill="1" applyBorder="1"/>
    <xf numFmtId="49" fontId="0" fillId="6" borderId="1" xfId="0" applyNumberFormat="1" applyFill="1" applyBorder="1"/>
    <xf numFmtId="17" fontId="0" fillId="0" borderId="1" xfId="0" quotePrefix="1" applyNumberFormat="1" applyFill="1" applyBorder="1" applyProtection="1"/>
    <xf numFmtId="0" fontId="2" fillId="5" borderId="1" xfId="0" applyFont="1" applyFill="1" applyBorder="1" applyProtection="1"/>
    <xf numFmtId="0" fontId="4" fillId="7" borderId="2" xfId="0" applyFont="1" applyFill="1" applyBorder="1"/>
    <xf numFmtId="0" fontId="4" fillId="0" borderId="0" xfId="0" applyFont="1"/>
    <xf numFmtId="0" fontId="4" fillId="0" borderId="2" xfId="0" applyFont="1" applyBorder="1"/>
    <xf numFmtId="14" fontId="4" fillId="0" borderId="0" xfId="0" applyNumberFormat="1" applyFont="1"/>
    <xf numFmtId="0" fontId="5" fillId="0" borderId="0" xfId="0" applyFont="1" applyFill="1" applyProtection="1"/>
    <xf numFmtId="0" fontId="4" fillId="7" borderId="0" xfId="0" applyFont="1" applyFill="1" applyBorder="1" applyProtection="1"/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FDFD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9FF47-D933-4745-BC85-F397087C7323}">
  <dimension ref="A2:CM78"/>
  <sheetViews>
    <sheetView tabSelected="1" showRuler="0" topLeftCell="B1" zoomScaleNormal="100" workbookViewId="0">
      <selection activeCell="A3" sqref="A3"/>
    </sheetView>
  </sheetViews>
  <sheetFormatPr defaultRowHeight="14.4" x14ac:dyDescent="0.3"/>
  <cols>
    <col min="1" max="1" width="15" customWidth="1"/>
    <col min="2" max="2" width="34.109375" customWidth="1"/>
    <col min="3" max="3" width="15.33203125" customWidth="1"/>
    <col min="4" max="4" width="37.6640625" customWidth="1"/>
    <col min="5" max="5" width="28.109375" customWidth="1"/>
    <col min="6" max="6" width="36.44140625" customWidth="1"/>
    <col min="7" max="7" width="16.44140625" customWidth="1"/>
    <col min="8" max="8" width="14" customWidth="1"/>
    <col min="9" max="9" width="12.88671875" customWidth="1"/>
    <col min="10" max="10" width="15.33203125" customWidth="1"/>
    <col min="11" max="11" width="47.109375" customWidth="1"/>
    <col min="12" max="12" width="53" customWidth="1"/>
    <col min="13" max="13" width="23.44140625" customWidth="1"/>
    <col min="14" max="14" width="18.6640625" customWidth="1"/>
    <col min="15" max="15" width="9.33203125" customWidth="1"/>
    <col min="16" max="16" width="12.88671875" customWidth="1"/>
    <col min="17" max="17" width="15.33203125" customWidth="1"/>
    <col min="18" max="20" width="14" customWidth="1"/>
    <col min="21" max="21" width="12.88671875" customWidth="1"/>
    <col min="22" max="22" width="25.88671875" customWidth="1"/>
    <col min="23" max="23" width="36.44140625" customWidth="1"/>
    <col min="24" max="24" width="18.6640625" customWidth="1"/>
    <col min="25" max="26" width="16.44140625" customWidth="1"/>
    <col min="27" max="27" width="15.33203125" customWidth="1"/>
    <col min="28" max="28" width="27" customWidth="1"/>
    <col min="29" max="29" width="51.88671875" customWidth="1"/>
    <col min="30" max="30" width="25.88671875" customWidth="1"/>
    <col min="31" max="31" width="17.5546875" customWidth="1"/>
    <col min="32" max="32" width="80.109375" customWidth="1"/>
    <col min="33" max="33" width="18.6640625" customWidth="1"/>
    <col min="34" max="34" width="17.5546875" customWidth="1"/>
    <col min="35" max="35" width="12.88671875" customWidth="1"/>
    <col min="36" max="36" width="44.6640625" customWidth="1"/>
    <col min="37" max="37" width="15.33203125" customWidth="1"/>
    <col min="38" max="38" width="5.88671875" customWidth="1"/>
    <col min="39" max="39" width="4.5546875" customWidth="1"/>
    <col min="40" max="40" width="14" customWidth="1"/>
    <col min="41" max="42" width="24.6640625" customWidth="1"/>
    <col min="43" max="43" width="60.109375" customWidth="1"/>
    <col min="44" max="44" width="11.6640625" customWidth="1"/>
    <col min="45" max="45" width="217" customWidth="1"/>
    <col min="46" max="46" width="17.5546875" customWidth="1"/>
    <col min="47" max="48" width="27" customWidth="1"/>
    <col min="49" max="50" width="24.6640625" customWidth="1"/>
    <col min="51" max="51" width="14" customWidth="1"/>
    <col min="52" max="52" width="18.6640625" customWidth="1"/>
    <col min="53" max="53" width="17.5546875" customWidth="1"/>
    <col min="54" max="54" width="18.6640625" customWidth="1"/>
    <col min="55" max="55" width="14" customWidth="1"/>
    <col min="56" max="56" width="9.33203125" customWidth="1"/>
    <col min="57" max="57" width="76.5546875" customWidth="1"/>
    <col min="58" max="58" width="10.5546875" customWidth="1"/>
    <col min="59" max="59" width="23.44140625" customWidth="1"/>
    <col min="60" max="60" width="36.44140625" customWidth="1"/>
    <col min="61" max="61" width="18.6640625" customWidth="1"/>
    <col min="62" max="62" width="10.5546875" customWidth="1"/>
    <col min="63" max="63" width="16.44140625" customWidth="1"/>
    <col min="64" max="66" width="10.5546875" customWidth="1"/>
    <col min="67" max="67" width="37.6640625" customWidth="1"/>
    <col min="68" max="68" width="47.109375" customWidth="1"/>
    <col min="69" max="69" width="40" customWidth="1"/>
    <col min="70" max="70" width="73" customWidth="1"/>
    <col min="71" max="71" width="18.6640625" customWidth="1"/>
    <col min="72" max="72" width="10.5546875" customWidth="1"/>
    <col min="73" max="73" width="24.6640625" customWidth="1"/>
    <col min="74" max="74" width="28.109375" customWidth="1"/>
    <col min="75" max="75" width="14" customWidth="1"/>
    <col min="76" max="76" width="9.33203125" customWidth="1"/>
    <col min="77" max="77" width="10.5546875" customWidth="1"/>
    <col min="78" max="78" width="35.21875" customWidth="1"/>
    <col min="79" max="79" width="4.5546875" customWidth="1"/>
    <col min="80" max="80" width="51.88671875" customWidth="1"/>
    <col min="81" max="81" width="35.21875" customWidth="1"/>
    <col min="82" max="82" width="16.44140625" customWidth="1"/>
    <col min="83" max="83" width="8.109375" customWidth="1"/>
    <col min="84" max="84" width="43.5546875" customWidth="1"/>
    <col min="85" max="85" width="12.88671875" customWidth="1"/>
    <col min="86" max="86" width="14" customWidth="1"/>
    <col min="87" max="87" width="5.88671875" customWidth="1"/>
    <col min="88" max="88" width="20" customWidth="1"/>
    <col min="89" max="89" width="24.6640625" customWidth="1"/>
    <col min="90" max="90" width="21.109375" customWidth="1"/>
    <col min="91" max="91" width="25.88671875" customWidth="1"/>
  </cols>
  <sheetData>
    <row r="2" spans="1:91" x14ac:dyDescent="0.3">
      <c r="A2" s="1" t="s">
        <v>0</v>
      </c>
    </row>
    <row r="3" spans="1:91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77</v>
      </c>
      <c r="BZ3" s="2" t="s">
        <v>78</v>
      </c>
      <c r="CA3" s="2" t="s">
        <v>79</v>
      </c>
      <c r="CB3" s="2" t="s">
        <v>80</v>
      </c>
      <c r="CC3" s="2" t="s">
        <v>81</v>
      </c>
      <c r="CD3" s="2" t="s">
        <v>82</v>
      </c>
      <c r="CE3" s="2" t="s">
        <v>83</v>
      </c>
      <c r="CF3" s="2" t="s">
        <v>84</v>
      </c>
      <c r="CG3" s="2" t="s">
        <v>85</v>
      </c>
      <c r="CH3" s="2" t="s">
        <v>86</v>
      </c>
      <c r="CI3" s="2" t="s">
        <v>87</v>
      </c>
      <c r="CJ3" s="2" t="s">
        <v>88</v>
      </c>
      <c r="CK3" s="2" t="s">
        <v>89</v>
      </c>
      <c r="CL3" s="2" t="s">
        <v>90</v>
      </c>
      <c r="CM3" s="2" t="s">
        <v>91</v>
      </c>
    </row>
    <row r="4" spans="1:91" x14ac:dyDescent="0.3">
      <c r="A4" t="s">
        <v>130</v>
      </c>
      <c r="B4" t="s">
        <v>92</v>
      </c>
      <c r="C4" t="s">
        <v>92</v>
      </c>
      <c r="D4" t="s">
        <v>131</v>
      </c>
      <c r="E4" t="s">
        <v>116</v>
      </c>
      <c r="F4" t="s">
        <v>132</v>
      </c>
      <c r="G4" t="s">
        <v>133</v>
      </c>
      <c r="H4" t="s">
        <v>134</v>
      </c>
      <c r="I4" t="s">
        <v>134</v>
      </c>
      <c r="K4" t="s">
        <v>135</v>
      </c>
      <c r="L4" t="s">
        <v>136</v>
      </c>
      <c r="M4" t="s">
        <v>122</v>
      </c>
      <c r="N4" t="s">
        <v>137</v>
      </c>
      <c r="O4" t="s">
        <v>96</v>
      </c>
      <c r="P4" t="s">
        <v>138</v>
      </c>
      <c r="Q4">
        <v>17160</v>
      </c>
      <c r="R4">
        <v>0</v>
      </c>
      <c r="S4">
        <v>1432</v>
      </c>
      <c r="T4">
        <v>858</v>
      </c>
      <c r="U4">
        <v>19450</v>
      </c>
      <c r="V4">
        <v>75</v>
      </c>
      <c r="W4" t="s">
        <v>139</v>
      </c>
      <c r="X4" t="s">
        <v>97</v>
      </c>
      <c r="Y4" t="s">
        <v>92</v>
      </c>
      <c r="Z4" t="s">
        <v>140</v>
      </c>
      <c r="AA4" t="s">
        <v>98</v>
      </c>
      <c r="AB4" t="s">
        <v>99</v>
      </c>
      <c r="AC4" t="s">
        <v>141</v>
      </c>
      <c r="AD4" t="s">
        <v>142</v>
      </c>
      <c r="AE4">
        <v>7582415</v>
      </c>
      <c r="AF4" t="s">
        <v>143</v>
      </c>
      <c r="AG4" t="s">
        <v>115</v>
      </c>
      <c r="AH4" t="s">
        <v>102</v>
      </c>
      <c r="AI4" t="s">
        <v>143</v>
      </c>
      <c r="AJ4" t="s">
        <v>144</v>
      </c>
      <c r="AK4" t="s">
        <v>145</v>
      </c>
      <c r="AL4">
        <v>800</v>
      </c>
      <c r="AM4">
        <v>0</v>
      </c>
      <c r="AN4">
        <v>44715644</v>
      </c>
      <c r="AO4" t="s">
        <v>92</v>
      </c>
      <c r="AP4" t="s">
        <v>146</v>
      </c>
      <c r="AR4" t="s">
        <v>105</v>
      </c>
      <c r="AS4" t="s">
        <v>106</v>
      </c>
      <c r="AT4" t="s">
        <v>107</v>
      </c>
      <c r="AY4">
        <v>9818798949</v>
      </c>
      <c r="AZ4" t="s">
        <v>147</v>
      </c>
      <c r="BA4" t="s">
        <v>125</v>
      </c>
      <c r="BB4" t="s">
        <v>138</v>
      </c>
      <c r="BC4" t="s">
        <v>138</v>
      </c>
      <c r="BD4" t="s">
        <v>148</v>
      </c>
      <c r="BE4" t="s">
        <v>109</v>
      </c>
      <c r="BF4">
        <v>996425</v>
      </c>
      <c r="BG4" t="s">
        <v>149</v>
      </c>
      <c r="BH4" t="s">
        <v>150</v>
      </c>
      <c r="BI4" t="s">
        <v>151</v>
      </c>
      <c r="BJ4">
        <v>1858</v>
      </c>
      <c r="BL4">
        <v>858</v>
      </c>
      <c r="BM4">
        <v>0</v>
      </c>
      <c r="BN4">
        <v>0</v>
      </c>
      <c r="BO4">
        <v>0.2952362</v>
      </c>
      <c r="BP4" t="s">
        <v>152</v>
      </c>
      <c r="BU4">
        <v>6</v>
      </c>
      <c r="BV4" t="s">
        <v>153</v>
      </c>
      <c r="CA4">
        <v>858</v>
      </c>
      <c r="CB4" t="s">
        <v>154</v>
      </c>
      <c r="CC4" t="s">
        <v>147</v>
      </c>
      <c r="CE4" t="s">
        <v>111</v>
      </c>
      <c r="CF4" t="s">
        <v>155</v>
      </c>
      <c r="CJ4" t="s">
        <v>156</v>
      </c>
      <c r="CK4" t="s">
        <v>157</v>
      </c>
    </row>
    <row r="5" spans="1:91" x14ac:dyDescent="0.3">
      <c r="A5" t="s">
        <v>158</v>
      </c>
      <c r="B5" t="s">
        <v>92</v>
      </c>
      <c r="C5" t="s">
        <v>92</v>
      </c>
      <c r="D5" t="s">
        <v>131</v>
      </c>
      <c r="E5" t="s">
        <v>116</v>
      </c>
      <c r="F5" t="s">
        <v>159</v>
      </c>
      <c r="G5" t="s">
        <v>160</v>
      </c>
      <c r="H5" t="s">
        <v>134</v>
      </c>
      <c r="I5" t="s">
        <v>134</v>
      </c>
      <c r="K5" t="s">
        <v>135</v>
      </c>
      <c r="L5" t="s">
        <v>136</v>
      </c>
      <c r="M5" t="s">
        <v>122</v>
      </c>
      <c r="N5" t="s">
        <v>137</v>
      </c>
      <c r="O5" t="s">
        <v>96</v>
      </c>
      <c r="P5" t="s">
        <v>161</v>
      </c>
      <c r="Q5">
        <v>17160</v>
      </c>
      <c r="R5">
        <v>0</v>
      </c>
      <c r="S5">
        <v>1432</v>
      </c>
      <c r="T5">
        <v>858</v>
      </c>
      <c r="U5">
        <v>19450</v>
      </c>
      <c r="V5">
        <v>75</v>
      </c>
      <c r="W5" t="s">
        <v>139</v>
      </c>
      <c r="X5" t="s">
        <v>97</v>
      </c>
      <c r="Y5" t="s">
        <v>92</v>
      </c>
      <c r="Z5" t="s">
        <v>140</v>
      </c>
      <c r="AA5" t="s">
        <v>162</v>
      </c>
      <c r="AB5" t="s">
        <v>99</v>
      </c>
      <c r="AC5" t="s">
        <v>141</v>
      </c>
      <c r="AD5" t="s">
        <v>163</v>
      </c>
      <c r="AE5">
        <v>7582416</v>
      </c>
      <c r="AF5" t="s">
        <v>143</v>
      </c>
      <c r="AG5" t="s">
        <v>115</v>
      </c>
      <c r="AH5" t="s">
        <v>102</v>
      </c>
      <c r="AI5" t="s">
        <v>143</v>
      </c>
      <c r="AJ5" t="s">
        <v>164</v>
      </c>
      <c r="AK5" t="s">
        <v>145</v>
      </c>
      <c r="AL5">
        <v>800</v>
      </c>
      <c r="AM5">
        <v>0</v>
      </c>
      <c r="AN5">
        <v>44715674</v>
      </c>
      <c r="AO5" t="s">
        <v>92</v>
      </c>
      <c r="AP5" t="s">
        <v>165</v>
      </c>
      <c r="AR5" t="s">
        <v>105</v>
      </c>
      <c r="AS5" t="s">
        <v>106</v>
      </c>
      <c r="AT5" t="s">
        <v>107</v>
      </c>
      <c r="AY5">
        <v>9891958565</v>
      </c>
      <c r="AZ5" t="s">
        <v>147</v>
      </c>
      <c r="BA5" t="s">
        <v>125</v>
      </c>
      <c r="BB5" t="s">
        <v>161</v>
      </c>
      <c r="BC5" t="s">
        <v>161</v>
      </c>
      <c r="BD5" t="s">
        <v>148</v>
      </c>
      <c r="BE5" t="s">
        <v>109</v>
      </c>
      <c r="BF5">
        <v>996425</v>
      </c>
      <c r="BG5" t="s">
        <v>149</v>
      </c>
      <c r="BH5" t="s">
        <v>150</v>
      </c>
      <c r="BI5" t="s">
        <v>151</v>
      </c>
      <c r="BJ5">
        <v>1858</v>
      </c>
      <c r="BL5">
        <v>858</v>
      </c>
      <c r="BM5">
        <v>0</v>
      </c>
      <c r="BN5">
        <v>0</v>
      </c>
      <c r="BO5">
        <v>0.2952362</v>
      </c>
      <c r="BP5" t="s">
        <v>152</v>
      </c>
      <c r="BU5">
        <v>6</v>
      </c>
      <c r="BV5" t="s">
        <v>153</v>
      </c>
      <c r="CA5">
        <v>858</v>
      </c>
      <c r="CB5" t="s">
        <v>154</v>
      </c>
      <c r="CC5" t="s">
        <v>147</v>
      </c>
      <c r="CE5" t="s">
        <v>111</v>
      </c>
      <c r="CF5" t="s">
        <v>166</v>
      </c>
      <c r="CJ5" t="s">
        <v>156</v>
      </c>
      <c r="CK5" t="s">
        <v>157</v>
      </c>
    </row>
    <row r="6" spans="1:91" x14ac:dyDescent="0.3">
      <c r="A6" t="s">
        <v>167</v>
      </c>
      <c r="B6" t="s">
        <v>92</v>
      </c>
      <c r="C6" t="s">
        <v>92</v>
      </c>
      <c r="D6" t="s">
        <v>131</v>
      </c>
      <c r="E6" t="s">
        <v>116</v>
      </c>
      <c r="F6" t="s">
        <v>159</v>
      </c>
      <c r="G6" t="s">
        <v>160</v>
      </c>
      <c r="H6" t="s">
        <v>134</v>
      </c>
      <c r="I6" t="s">
        <v>134</v>
      </c>
      <c r="K6" t="s">
        <v>168</v>
      </c>
      <c r="L6" t="s">
        <v>169</v>
      </c>
      <c r="M6" t="s">
        <v>170</v>
      </c>
      <c r="N6" t="s">
        <v>171</v>
      </c>
      <c r="O6" t="s">
        <v>96</v>
      </c>
      <c r="P6" t="s">
        <v>172</v>
      </c>
      <c r="Q6">
        <v>9800</v>
      </c>
      <c r="R6">
        <v>0</v>
      </c>
      <c r="S6">
        <v>382</v>
      </c>
      <c r="T6">
        <v>490</v>
      </c>
      <c r="U6">
        <v>10672</v>
      </c>
      <c r="V6">
        <v>150</v>
      </c>
      <c r="W6" t="s">
        <v>139</v>
      </c>
      <c r="X6" t="s">
        <v>97</v>
      </c>
      <c r="Y6" t="s">
        <v>92</v>
      </c>
      <c r="Z6" t="s">
        <v>140</v>
      </c>
      <c r="AA6" t="s">
        <v>173</v>
      </c>
      <c r="AB6" t="s">
        <v>99</v>
      </c>
      <c r="AC6" t="s">
        <v>141</v>
      </c>
      <c r="AD6" t="s">
        <v>174</v>
      </c>
      <c r="AE6">
        <v>7582416</v>
      </c>
      <c r="AF6" t="s">
        <v>143</v>
      </c>
      <c r="AG6" t="s">
        <v>115</v>
      </c>
      <c r="AH6" t="s">
        <v>102</v>
      </c>
      <c r="AI6" t="s">
        <v>143</v>
      </c>
      <c r="AJ6" t="s">
        <v>164</v>
      </c>
      <c r="AK6" t="s">
        <v>175</v>
      </c>
      <c r="AL6">
        <v>1000</v>
      </c>
      <c r="AM6">
        <v>0</v>
      </c>
      <c r="AN6">
        <v>44715674</v>
      </c>
      <c r="AO6" t="s">
        <v>92</v>
      </c>
      <c r="AP6" t="s">
        <v>165</v>
      </c>
      <c r="AR6" t="s">
        <v>105</v>
      </c>
      <c r="AS6" t="s">
        <v>106</v>
      </c>
      <c r="AT6" t="s">
        <v>107</v>
      </c>
      <c r="AY6">
        <v>9891958565</v>
      </c>
      <c r="AZ6" t="s">
        <v>147</v>
      </c>
      <c r="BA6" t="s">
        <v>125</v>
      </c>
      <c r="BB6" t="s">
        <v>172</v>
      </c>
      <c r="BC6" t="s">
        <v>172</v>
      </c>
      <c r="BD6" t="s">
        <v>148</v>
      </c>
      <c r="BE6" t="s">
        <v>109</v>
      </c>
      <c r="BF6">
        <v>996425</v>
      </c>
      <c r="BG6" t="s">
        <v>176</v>
      </c>
      <c r="BH6" t="s">
        <v>150</v>
      </c>
      <c r="BI6" t="s">
        <v>151</v>
      </c>
      <c r="BJ6" t="s">
        <v>177</v>
      </c>
      <c r="BL6">
        <v>490</v>
      </c>
      <c r="BM6">
        <v>0</v>
      </c>
      <c r="BN6">
        <v>0</v>
      </c>
      <c r="BO6">
        <v>0.31573430000000002</v>
      </c>
      <c r="BP6" t="s">
        <v>178</v>
      </c>
      <c r="BU6">
        <v>3</v>
      </c>
      <c r="BV6" t="s">
        <v>179</v>
      </c>
      <c r="CA6">
        <v>490</v>
      </c>
      <c r="CB6" t="s">
        <v>154</v>
      </c>
      <c r="CC6" t="s">
        <v>147</v>
      </c>
      <c r="CE6" t="s">
        <v>111</v>
      </c>
      <c r="CF6" t="s">
        <v>180</v>
      </c>
      <c r="CJ6" t="s">
        <v>156</v>
      </c>
      <c r="CK6" t="s">
        <v>157</v>
      </c>
    </row>
    <row r="7" spans="1:91" x14ac:dyDescent="0.3">
      <c r="A7" t="s">
        <v>181</v>
      </c>
      <c r="B7" t="s">
        <v>92</v>
      </c>
      <c r="C7" t="s">
        <v>92</v>
      </c>
      <c r="D7" t="s">
        <v>131</v>
      </c>
      <c r="E7" t="s">
        <v>116</v>
      </c>
      <c r="F7" t="s">
        <v>132</v>
      </c>
      <c r="G7" t="s">
        <v>133</v>
      </c>
      <c r="H7" t="s">
        <v>134</v>
      </c>
      <c r="I7" t="s">
        <v>134</v>
      </c>
      <c r="K7" t="s">
        <v>168</v>
      </c>
      <c r="L7" t="s">
        <v>169</v>
      </c>
      <c r="M7" t="s">
        <v>170</v>
      </c>
      <c r="N7" t="s">
        <v>171</v>
      </c>
      <c r="O7" t="s">
        <v>96</v>
      </c>
      <c r="P7" t="s">
        <v>182</v>
      </c>
      <c r="Q7">
        <v>9800</v>
      </c>
      <c r="R7">
        <v>0</v>
      </c>
      <c r="S7">
        <v>382</v>
      </c>
      <c r="T7">
        <v>490</v>
      </c>
      <c r="U7">
        <v>10672</v>
      </c>
      <c r="V7">
        <v>150</v>
      </c>
      <c r="W7" t="s">
        <v>139</v>
      </c>
      <c r="X7" t="s">
        <v>97</v>
      </c>
      <c r="Y7" t="s">
        <v>92</v>
      </c>
      <c r="Z7" t="s">
        <v>140</v>
      </c>
      <c r="AA7" t="s">
        <v>183</v>
      </c>
      <c r="AB7" t="s">
        <v>99</v>
      </c>
      <c r="AC7" t="s">
        <v>141</v>
      </c>
      <c r="AD7" t="s">
        <v>184</v>
      </c>
      <c r="AE7">
        <v>7582415</v>
      </c>
      <c r="AF7" t="s">
        <v>143</v>
      </c>
      <c r="AG7" t="s">
        <v>115</v>
      </c>
      <c r="AH7" t="s">
        <v>102</v>
      </c>
      <c r="AI7" t="s">
        <v>143</v>
      </c>
      <c r="AJ7" t="s">
        <v>144</v>
      </c>
      <c r="AK7" t="s">
        <v>175</v>
      </c>
      <c r="AL7">
        <v>1000</v>
      </c>
      <c r="AM7">
        <v>0</v>
      </c>
      <c r="AN7">
        <v>44715644</v>
      </c>
      <c r="AO7" t="s">
        <v>92</v>
      </c>
      <c r="AP7" t="s">
        <v>146</v>
      </c>
      <c r="AR7" t="s">
        <v>105</v>
      </c>
      <c r="AS7" t="s">
        <v>106</v>
      </c>
      <c r="AT7" t="s">
        <v>107</v>
      </c>
      <c r="AY7">
        <v>9818798949</v>
      </c>
      <c r="AZ7" t="s">
        <v>147</v>
      </c>
      <c r="BA7" t="s">
        <v>125</v>
      </c>
      <c r="BB7" t="s">
        <v>182</v>
      </c>
      <c r="BC7" t="s">
        <v>182</v>
      </c>
      <c r="BD7" t="s">
        <v>148</v>
      </c>
      <c r="BE7" t="s">
        <v>109</v>
      </c>
      <c r="BF7">
        <v>996425</v>
      </c>
      <c r="BG7" t="s">
        <v>176</v>
      </c>
      <c r="BH7" t="s">
        <v>150</v>
      </c>
      <c r="BI7" t="s">
        <v>151</v>
      </c>
      <c r="BJ7" t="s">
        <v>177</v>
      </c>
      <c r="BL7">
        <v>490</v>
      </c>
      <c r="BM7">
        <v>0</v>
      </c>
      <c r="BN7">
        <v>0</v>
      </c>
      <c r="BO7">
        <v>0.31573430000000002</v>
      </c>
      <c r="BP7" t="s">
        <v>178</v>
      </c>
      <c r="BU7">
        <v>3</v>
      </c>
      <c r="BV7" t="s">
        <v>179</v>
      </c>
      <c r="CA7">
        <v>490</v>
      </c>
      <c r="CB7" t="s">
        <v>154</v>
      </c>
      <c r="CC7" t="s">
        <v>147</v>
      </c>
      <c r="CE7" t="s">
        <v>111</v>
      </c>
      <c r="CF7" t="s">
        <v>185</v>
      </c>
      <c r="CJ7" t="s">
        <v>156</v>
      </c>
      <c r="CK7" t="s">
        <v>157</v>
      </c>
    </row>
    <row r="8" spans="1:91" x14ac:dyDescent="0.3">
      <c r="A8" t="s">
        <v>209</v>
      </c>
      <c r="B8" t="s">
        <v>92</v>
      </c>
      <c r="C8" t="s">
        <v>92</v>
      </c>
      <c r="D8" t="s">
        <v>210</v>
      </c>
      <c r="E8" t="s">
        <v>93</v>
      </c>
      <c r="F8" t="s">
        <v>211</v>
      </c>
      <c r="G8" t="s">
        <v>212</v>
      </c>
      <c r="H8">
        <v>3701618</v>
      </c>
      <c r="I8" t="s">
        <v>213</v>
      </c>
      <c r="K8" t="s">
        <v>168</v>
      </c>
      <c r="L8" t="s">
        <v>169</v>
      </c>
      <c r="M8" t="s">
        <v>170</v>
      </c>
      <c r="N8" t="s">
        <v>171</v>
      </c>
      <c r="O8" t="s">
        <v>96</v>
      </c>
      <c r="P8" t="s">
        <v>214</v>
      </c>
      <c r="Q8">
        <v>10620</v>
      </c>
      <c r="R8">
        <v>0</v>
      </c>
      <c r="S8">
        <v>702</v>
      </c>
      <c r="T8">
        <v>531</v>
      </c>
      <c r="U8">
        <v>11853</v>
      </c>
      <c r="V8">
        <v>150</v>
      </c>
      <c r="W8" t="s">
        <v>215</v>
      </c>
      <c r="X8" t="s">
        <v>97</v>
      </c>
      <c r="Y8" t="s">
        <v>92</v>
      </c>
      <c r="Z8" t="s">
        <v>216</v>
      </c>
      <c r="AA8" t="s">
        <v>183</v>
      </c>
      <c r="AB8" t="s">
        <v>99</v>
      </c>
      <c r="AC8" t="s">
        <v>141</v>
      </c>
      <c r="AD8" t="s">
        <v>217</v>
      </c>
      <c r="AE8">
        <v>1388660</v>
      </c>
      <c r="AF8" t="s">
        <v>218</v>
      </c>
      <c r="AG8" t="s">
        <v>115</v>
      </c>
      <c r="AH8" t="s">
        <v>102</v>
      </c>
      <c r="AI8" t="s">
        <v>190</v>
      </c>
      <c r="AJ8" t="s">
        <v>219</v>
      </c>
      <c r="AK8" t="s">
        <v>220</v>
      </c>
      <c r="AL8">
        <v>1000</v>
      </c>
      <c r="AM8">
        <v>0</v>
      </c>
      <c r="AN8">
        <v>44718713</v>
      </c>
      <c r="AO8" t="s">
        <v>92</v>
      </c>
      <c r="AP8" t="s">
        <v>221</v>
      </c>
      <c r="AR8" t="s">
        <v>105</v>
      </c>
      <c r="AS8" t="s">
        <v>106</v>
      </c>
      <c r="AT8" t="s">
        <v>107</v>
      </c>
      <c r="AY8">
        <v>9811525485</v>
      </c>
      <c r="AZ8" t="s">
        <v>222</v>
      </c>
      <c r="BA8" t="s">
        <v>108</v>
      </c>
      <c r="BB8" t="s">
        <v>214</v>
      </c>
      <c r="BC8" t="s">
        <v>214</v>
      </c>
      <c r="BD8" t="s">
        <v>148</v>
      </c>
      <c r="BE8" t="s">
        <v>109</v>
      </c>
      <c r="BF8">
        <v>996425</v>
      </c>
      <c r="BG8" t="s">
        <v>176</v>
      </c>
      <c r="BH8" t="s">
        <v>150</v>
      </c>
      <c r="BI8" t="s">
        <v>151</v>
      </c>
      <c r="BJ8" t="s">
        <v>177</v>
      </c>
      <c r="BL8">
        <v>531</v>
      </c>
      <c r="BM8">
        <v>0</v>
      </c>
      <c r="BN8">
        <v>0</v>
      </c>
      <c r="BO8">
        <v>0.31573430000000002</v>
      </c>
      <c r="BP8" t="s">
        <v>178</v>
      </c>
      <c r="BU8">
        <v>3</v>
      </c>
      <c r="BV8" t="s">
        <v>179</v>
      </c>
      <c r="CA8">
        <v>531</v>
      </c>
      <c r="CB8" t="s">
        <v>154</v>
      </c>
      <c r="CC8" t="s">
        <v>222</v>
      </c>
      <c r="CE8" t="s">
        <v>111</v>
      </c>
      <c r="CF8" t="s">
        <v>223</v>
      </c>
      <c r="CJ8" t="s">
        <v>224</v>
      </c>
      <c r="CK8" t="s">
        <v>196</v>
      </c>
    </row>
    <row r="9" spans="1:91" x14ac:dyDescent="0.3">
      <c r="A9" t="s">
        <v>225</v>
      </c>
      <c r="B9" t="s">
        <v>92</v>
      </c>
      <c r="C9" t="s">
        <v>92</v>
      </c>
      <c r="D9" t="s">
        <v>210</v>
      </c>
      <c r="E9" t="s">
        <v>93</v>
      </c>
      <c r="F9" t="s">
        <v>211</v>
      </c>
      <c r="G9" t="s">
        <v>212</v>
      </c>
      <c r="H9">
        <v>3701618</v>
      </c>
      <c r="I9" t="s">
        <v>213</v>
      </c>
      <c r="K9" t="s">
        <v>135</v>
      </c>
      <c r="L9" t="s">
        <v>136</v>
      </c>
      <c r="M9" t="s">
        <v>122</v>
      </c>
      <c r="N9" t="s">
        <v>137</v>
      </c>
      <c r="O9" t="s">
        <v>96</v>
      </c>
      <c r="P9" t="s">
        <v>226</v>
      </c>
      <c r="Q9">
        <v>17160</v>
      </c>
      <c r="R9">
        <v>0</v>
      </c>
      <c r="S9">
        <v>1786</v>
      </c>
      <c r="T9">
        <v>858</v>
      </c>
      <c r="U9">
        <v>19804</v>
      </c>
      <c r="V9">
        <v>75</v>
      </c>
      <c r="W9" t="s">
        <v>215</v>
      </c>
      <c r="X9" t="s">
        <v>97</v>
      </c>
      <c r="Y9" t="s">
        <v>92</v>
      </c>
      <c r="Z9" t="s">
        <v>216</v>
      </c>
      <c r="AA9" t="s">
        <v>98</v>
      </c>
      <c r="AB9" t="s">
        <v>99</v>
      </c>
      <c r="AC9" t="s">
        <v>141</v>
      </c>
      <c r="AD9" t="s">
        <v>227</v>
      </c>
      <c r="AE9">
        <v>1388660</v>
      </c>
      <c r="AF9" t="s">
        <v>218</v>
      </c>
      <c r="AG9" t="s">
        <v>115</v>
      </c>
      <c r="AH9" t="s">
        <v>102</v>
      </c>
      <c r="AI9" t="s">
        <v>190</v>
      </c>
      <c r="AJ9" t="s">
        <v>219</v>
      </c>
      <c r="AK9" t="s">
        <v>145</v>
      </c>
      <c r="AL9">
        <v>800</v>
      </c>
      <c r="AM9">
        <v>0</v>
      </c>
      <c r="AN9">
        <v>44718713</v>
      </c>
      <c r="AO9" t="s">
        <v>92</v>
      </c>
      <c r="AP9" t="s">
        <v>221</v>
      </c>
      <c r="AR9" t="s">
        <v>105</v>
      </c>
      <c r="AS9" t="s">
        <v>106</v>
      </c>
      <c r="AT9" t="s">
        <v>107</v>
      </c>
      <c r="AY9">
        <v>9811525485</v>
      </c>
      <c r="AZ9" t="s">
        <v>222</v>
      </c>
      <c r="BA9" t="s">
        <v>108</v>
      </c>
      <c r="BB9" t="s">
        <v>226</v>
      </c>
      <c r="BC9" t="s">
        <v>226</v>
      </c>
      <c r="BD9" t="s">
        <v>148</v>
      </c>
      <c r="BE9" t="s">
        <v>109</v>
      </c>
      <c r="BF9">
        <v>996425</v>
      </c>
      <c r="BG9" t="s">
        <v>149</v>
      </c>
      <c r="BH9" t="s">
        <v>150</v>
      </c>
      <c r="BI9" t="s">
        <v>151</v>
      </c>
      <c r="BJ9">
        <v>1858</v>
      </c>
      <c r="BL9">
        <v>858</v>
      </c>
      <c r="BM9">
        <v>0</v>
      </c>
      <c r="BN9">
        <v>0</v>
      </c>
      <c r="BO9">
        <v>0.2952362</v>
      </c>
      <c r="BP9" t="s">
        <v>152</v>
      </c>
      <c r="BU9">
        <v>6</v>
      </c>
      <c r="BV9" t="s">
        <v>153</v>
      </c>
      <c r="CA9">
        <v>858</v>
      </c>
      <c r="CB9" t="s">
        <v>154</v>
      </c>
      <c r="CC9" t="s">
        <v>222</v>
      </c>
      <c r="CE9" t="s">
        <v>111</v>
      </c>
      <c r="CF9" t="s">
        <v>228</v>
      </c>
      <c r="CJ9" t="s">
        <v>224</v>
      </c>
      <c r="CK9" t="s">
        <v>196</v>
      </c>
    </row>
    <row r="10" spans="1:91" x14ac:dyDescent="0.3">
      <c r="A10" t="s">
        <v>229</v>
      </c>
      <c r="B10" t="s">
        <v>92</v>
      </c>
      <c r="C10" t="s">
        <v>92</v>
      </c>
      <c r="D10" t="s">
        <v>131</v>
      </c>
      <c r="E10" t="s">
        <v>116</v>
      </c>
      <c r="F10" t="s">
        <v>230</v>
      </c>
      <c r="G10" t="s">
        <v>160</v>
      </c>
      <c r="H10" t="s">
        <v>134</v>
      </c>
      <c r="I10" t="s">
        <v>134</v>
      </c>
      <c r="K10" t="s">
        <v>168</v>
      </c>
      <c r="L10" t="s">
        <v>169</v>
      </c>
      <c r="M10" t="s">
        <v>170</v>
      </c>
      <c r="N10" t="s">
        <v>171</v>
      </c>
      <c r="O10" t="s">
        <v>96</v>
      </c>
      <c r="P10" t="s">
        <v>231</v>
      </c>
      <c r="Q10">
        <v>10620</v>
      </c>
      <c r="R10">
        <v>0</v>
      </c>
      <c r="S10">
        <v>389</v>
      </c>
      <c r="T10">
        <v>531</v>
      </c>
      <c r="U10">
        <v>11540</v>
      </c>
      <c r="V10">
        <v>150</v>
      </c>
      <c r="W10" t="s">
        <v>139</v>
      </c>
      <c r="X10" t="s">
        <v>97</v>
      </c>
      <c r="Y10" t="s">
        <v>92</v>
      </c>
      <c r="Z10" t="s">
        <v>232</v>
      </c>
      <c r="AA10" t="s">
        <v>183</v>
      </c>
      <c r="AB10" t="s">
        <v>99</v>
      </c>
      <c r="AC10" t="s">
        <v>141</v>
      </c>
      <c r="AD10" t="s">
        <v>233</v>
      </c>
      <c r="AE10">
        <v>7582416</v>
      </c>
      <c r="AF10" t="s">
        <v>143</v>
      </c>
      <c r="AG10" t="s">
        <v>115</v>
      </c>
      <c r="AH10" t="s">
        <v>102</v>
      </c>
      <c r="AI10" t="s">
        <v>143</v>
      </c>
      <c r="AJ10" t="s">
        <v>164</v>
      </c>
      <c r="AK10" t="s">
        <v>220</v>
      </c>
      <c r="AL10">
        <v>1000</v>
      </c>
      <c r="AM10">
        <v>0</v>
      </c>
      <c r="AN10">
        <v>44718750</v>
      </c>
      <c r="AO10" t="s">
        <v>92</v>
      </c>
      <c r="AP10" t="s">
        <v>216</v>
      </c>
      <c r="AR10" t="s">
        <v>105</v>
      </c>
      <c r="AS10" t="s">
        <v>106</v>
      </c>
      <c r="AT10" t="s">
        <v>107</v>
      </c>
      <c r="AY10">
        <v>9891958565</v>
      </c>
      <c r="AZ10" t="s">
        <v>147</v>
      </c>
      <c r="BA10" t="s">
        <v>125</v>
      </c>
      <c r="BB10" t="s">
        <v>231</v>
      </c>
      <c r="BC10" t="s">
        <v>231</v>
      </c>
      <c r="BD10" t="s">
        <v>148</v>
      </c>
      <c r="BE10" t="s">
        <v>109</v>
      </c>
      <c r="BF10">
        <v>996425</v>
      </c>
      <c r="BG10" t="s">
        <v>176</v>
      </c>
      <c r="BH10" t="s">
        <v>150</v>
      </c>
      <c r="BI10" t="s">
        <v>151</v>
      </c>
      <c r="BJ10" t="s">
        <v>177</v>
      </c>
      <c r="BL10">
        <v>531</v>
      </c>
      <c r="BM10">
        <v>0</v>
      </c>
      <c r="BN10">
        <v>0</v>
      </c>
      <c r="BO10">
        <v>0.31573430000000002</v>
      </c>
      <c r="BP10" t="s">
        <v>178</v>
      </c>
      <c r="BU10">
        <v>3</v>
      </c>
      <c r="BV10" t="s">
        <v>179</v>
      </c>
      <c r="CA10">
        <v>531</v>
      </c>
      <c r="CB10" t="s">
        <v>154</v>
      </c>
      <c r="CC10" t="s">
        <v>147</v>
      </c>
      <c r="CE10" t="s">
        <v>111</v>
      </c>
      <c r="CF10" t="s">
        <v>234</v>
      </c>
      <c r="CJ10" t="s">
        <v>156</v>
      </c>
      <c r="CK10" t="s">
        <v>157</v>
      </c>
    </row>
    <row r="11" spans="1:91" x14ac:dyDescent="0.3">
      <c r="A11" t="s">
        <v>235</v>
      </c>
      <c r="B11" t="s">
        <v>92</v>
      </c>
      <c r="C11" t="s">
        <v>92</v>
      </c>
      <c r="D11" t="s">
        <v>131</v>
      </c>
      <c r="E11" t="s">
        <v>116</v>
      </c>
      <c r="F11" t="s">
        <v>230</v>
      </c>
      <c r="G11" t="s">
        <v>160</v>
      </c>
      <c r="H11" t="s">
        <v>134</v>
      </c>
      <c r="I11" t="s">
        <v>134</v>
      </c>
      <c r="K11" t="s">
        <v>135</v>
      </c>
      <c r="L11" t="s">
        <v>136</v>
      </c>
      <c r="M11" t="s">
        <v>122</v>
      </c>
      <c r="N11" t="s">
        <v>137</v>
      </c>
      <c r="O11" t="s">
        <v>96</v>
      </c>
      <c r="P11" t="s">
        <v>236</v>
      </c>
      <c r="Q11">
        <v>17160</v>
      </c>
      <c r="R11">
        <v>0</v>
      </c>
      <c r="S11">
        <v>1432</v>
      </c>
      <c r="T11">
        <v>858</v>
      </c>
      <c r="U11">
        <v>19450</v>
      </c>
      <c r="V11">
        <v>75</v>
      </c>
      <c r="W11" t="s">
        <v>139</v>
      </c>
      <c r="X11" t="s">
        <v>97</v>
      </c>
      <c r="Y11" t="s">
        <v>92</v>
      </c>
      <c r="Z11" t="s">
        <v>232</v>
      </c>
      <c r="AA11" t="s">
        <v>98</v>
      </c>
      <c r="AB11" t="s">
        <v>99</v>
      </c>
      <c r="AC11" t="s">
        <v>141</v>
      </c>
      <c r="AD11" t="s">
        <v>237</v>
      </c>
      <c r="AE11">
        <v>7582416</v>
      </c>
      <c r="AF11" t="s">
        <v>143</v>
      </c>
      <c r="AG11" t="s">
        <v>115</v>
      </c>
      <c r="AH11" t="s">
        <v>102</v>
      </c>
      <c r="AI11" t="s">
        <v>143</v>
      </c>
      <c r="AJ11" t="s">
        <v>164</v>
      </c>
      <c r="AK11" t="s">
        <v>145</v>
      </c>
      <c r="AL11">
        <v>800</v>
      </c>
      <c r="AM11">
        <v>0</v>
      </c>
      <c r="AN11">
        <v>44718750</v>
      </c>
      <c r="AO11" t="s">
        <v>92</v>
      </c>
      <c r="AP11" t="s">
        <v>216</v>
      </c>
      <c r="AR11" t="s">
        <v>105</v>
      </c>
      <c r="AS11" t="s">
        <v>106</v>
      </c>
      <c r="AT11" t="s">
        <v>107</v>
      </c>
      <c r="AY11">
        <v>9891958565</v>
      </c>
      <c r="AZ11" t="s">
        <v>147</v>
      </c>
      <c r="BA11" t="s">
        <v>125</v>
      </c>
      <c r="BB11" t="s">
        <v>236</v>
      </c>
      <c r="BC11" t="s">
        <v>236</v>
      </c>
      <c r="BD11" t="s">
        <v>148</v>
      </c>
      <c r="BE11" t="s">
        <v>109</v>
      </c>
      <c r="BF11">
        <v>996425</v>
      </c>
      <c r="BG11" t="s">
        <v>149</v>
      </c>
      <c r="BH11" t="s">
        <v>150</v>
      </c>
      <c r="BI11" t="s">
        <v>151</v>
      </c>
      <c r="BJ11">
        <v>1858</v>
      </c>
      <c r="BL11">
        <v>858</v>
      </c>
      <c r="BM11">
        <v>0</v>
      </c>
      <c r="BN11">
        <v>0</v>
      </c>
      <c r="BO11">
        <v>0.2952362</v>
      </c>
      <c r="BP11" t="s">
        <v>152</v>
      </c>
      <c r="BU11">
        <v>6</v>
      </c>
      <c r="BV11" t="s">
        <v>153</v>
      </c>
      <c r="CA11">
        <v>858</v>
      </c>
      <c r="CB11" t="s">
        <v>154</v>
      </c>
      <c r="CC11" t="s">
        <v>147</v>
      </c>
      <c r="CE11" t="s">
        <v>111</v>
      </c>
      <c r="CF11" t="s">
        <v>238</v>
      </c>
      <c r="CJ11" t="s">
        <v>156</v>
      </c>
      <c r="CK11" t="s">
        <v>157</v>
      </c>
    </row>
    <row r="12" spans="1:91" x14ac:dyDescent="0.3">
      <c r="A12" t="s">
        <v>267</v>
      </c>
      <c r="B12" t="s">
        <v>114</v>
      </c>
      <c r="C12" t="s">
        <v>114</v>
      </c>
      <c r="D12" t="s">
        <v>268</v>
      </c>
      <c r="E12" t="s">
        <v>93</v>
      </c>
      <c r="F12" t="s">
        <v>269</v>
      </c>
      <c r="G12" t="s">
        <v>270</v>
      </c>
      <c r="H12">
        <v>3701618</v>
      </c>
      <c r="I12" t="s">
        <v>271</v>
      </c>
      <c r="K12" t="s">
        <v>272</v>
      </c>
      <c r="L12" t="s">
        <v>273</v>
      </c>
      <c r="M12" t="s">
        <v>122</v>
      </c>
      <c r="N12" t="s">
        <v>274</v>
      </c>
      <c r="O12" t="s">
        <v>96</v>
      </c>
      <c r="P12" t="s">
        <v>275</v>
      </c>
      <c r="Q12">
        <v>7920</v>
      </c>
      <c r="R12">
        <v>0</v>
      </c>
      <c r="S12">
        <v>440</v>
      </c>
      <c r="T12">
        <v>396</v>
      </c>
      <c r="U12">
        <v>8756</v>
      </c>
      <c r="V12">
        <v>0</v>
      </c>
      <c r="W12" t="s">
        <v>269</v>
      </c>
      <c r="X12" t="s">
        <v>97</v>
      </c>
      <c r="Y12" t="s">
        <v>114</v>
      </c>
      <c r="Z12" t="s">
        <v>276</v>
      </c>
      <c r="AA12" t="s">
        <v>162</v>
      </c>
      <c r="AB12" t="s">
        <v>99</v>
      </c>
      <c r="AC12" t="s">
        <v>141</v>
      </c>
      <c r="AD12" t="s">
        <v>277</v>
      </c>
      <c r="AE12">
        <v>1388000</v>
      </c>
      <c r="AF12" t="s">
        <v>278</v>
      </c>
      <c r="AG12" t="s">
        <v>115</v>
      </c>
      <c r="AH12" t="s">
        <v>102</v>
      </c>
      <c r="AI12" t="s">
        <v>112</v>
      </c>
      <c r="AJ12" t="s">
        <v>279</v>
      </c>
      <c r="AK12" t="s">
        <v>201</v>
      </c>
      <c r="AL12">
        <v>800</v>
      </c>
      <c r="AM12">
        <v>0</v>
      </c>
      <c r="AN12">
        <v>44739307</v>
      </c>
      <c r="AO12" t="s">
        <v>114</v>
      </c>
      <c r="AP12" t="s">
        <v>247</v>
      </c>
      <c r="AR12" t="s">
        <v>105</v>
      </c>
      <c r="AS12" t="s">
        <v>106</v>
      </c>
      <c r="AT12" t="s">
        <v>107</v>
      </c>
      <c r="AY12">
        <v>9870333111</v>
      </c>
      <c r="AZ12" t="s">
        <v>222</v>
      </c>
      <c r="BA12" t="s">
        <v>108</v>
      </c>
      <c r="BB12" t="s">
        <v>275</v>
      </c>
      <c r="BC12" t="s">
        <v>275</v>
      </c>
      <c r="BD12" t="s">
        <v>148</v>
      </c>
      <c r="BE12" t="s">
        <v>109</v>
      </c>
      <c r="BF12">
        <v>996425</v>
      </c>
      <c r="BG12" t="s">
        <v>244</v>
      </c>
      <c r="BH12" t="s">
        <v>280</v>
      </c>
      <c r="BI12" t="s">
        <v>270</v>
      </c>
      <c r="BJ12">
        <v>1665</v>
      </c>
      <c r="BL12">
        <v>396</v>
      </c>
      <c r="BM12">
        <v>0</v>
      </c>
      <c r="BN12">
        <v>0</v>
      </c>
      <c r="BO12">
        <v>0.26456849999999998</v>
      </c>
      <c r="BP12" t="s">
        <v>281</v>
      </c>
      <c r="BU12">
        <v>9</v>
      </c>
      <c r="BV12" t="s">
        <v>282</v>
      </c>
      <c r="CA12">
        <v>396</v>
      </c>
      <c r="CB12" t="s">
        <v>154</v>
      </c>
      <c r="CC12" t="s">
        <v>222</v>
      </c>
      <c r="CE12" t="s">
        <v>111</v>
      </c>
      <c r="CF12" t="s">
        <v>283</v>
      </c>
      <c r="CJ12" t="s">
        <v>270</v>
      </c>
      <c r="CK12" t="s">
        <v>112</v>
      </c>
    </row>
    <row r="13" spans="1:91" x14ac:dyDescent="0.3">
      <c r="A13" t="s">
        <v>284</v>
      </c>
      <c r="B13" t="s">
        <v>114</v>
      </c>
      <c r="C13" t="s">
        <v>114</v>
      </c>
      <c r="D13" t="s">
        <v>268</v>
      </c>
      <c r="E13" t="s">
        <v>93</v>
      </c>
      <c r="F13" t="s">
        <v>269</v>
      </c>
      <c r="G13" t="s">
        <v>270</v>
      </c>
      <c r="H13">
        <v>3701618</v>
      </c>
      <c r="I13" t="s">
        <v>271</v>
      </c>
      <c r="K13" t="s">
        <v>285</v>
      </c>
      <c r="L13" t="s">
        <v>286</v>
      </c>
      <c r="M13" t="s">
        <v>122</v>
      </c>
      <c r="N13" t="s">
        <v>287</v>
      </c>
      <c r="O13" t="s">
        <v>96</v>
      </c>
      <c r="P13" t="s">
        <v>288</v>
      </c>
      <c r="Q13">
        <v>7920</v>
      </c>
      <c r="R13">
        <v>0</v>
      </c>
      <c r="S13">
        <v>967</v>
      </c>
      <c r="T13">
        <v>396</v>
      </c>
      <c r="U13">
        <v>9283</v>
      </c>
      <c r="V13">
        <v>0</v>
      </c>
      <c r="W13" t="s">
        <v>269</v>
      </c>
      <c r="X13" t="s">
        <v>97</v>
      </c>
      <c r="Y13" t="s">
        <v>114</v>
      </c>
      <c r="Z13" t="s">
        <v>276</v>
      </c>
      <c r="AA13" t="s">
        <v>162</v>
      </c>
      <c r="AB13" t="s">
        <v>99</v>
      </c>
      <c r="AC13" t="s">
        <v>141</v>
      </c>
      <c r="AD13" t="s">
        <v>289</v>
      </c>
      <c r="AE13">
        <v>1388000</v>
      </c>
      <c r="AF13" t="s">
        <v>278</v>
      </c>
      <c r="AG13" t="s">
        <v>115</v>
      </c>
      <c r="AH13" t="s">
        <v>102</v>
      </c>
      <c r="AI13" t="s">
        <v>112</v>
      </c>
      <c r="AJ13" t="s">
        <v>279</v>
      </c>
      <c r="AK13" t="s">
        <v>201</v>
      </c>
      <c r="AL13">
        <v>800</v>
      </c>
      <c r="AM13">
        <v>0</v>
      </c>
      <c r="AN13">
        <v>44739307</v>
      </c>
      <c r="AO13" t="s">
        <v>114</v>
      </c>
      <c r="AP13" t="s">
        <v>247</v>
      </c>
      <c r="AR13" t="s">
        <v>105</v>
      </c>
      <c r="AS13" t="s">
        <v>106</v>
      </c>
      <c r="AT13" t="s">
        <v>107</v>
      </c>
      <c r="AY13">
        <v>9870333111</v>
      </c>
      <c r="AZ13" t="s">
        <v>222</v>
      </c>
      <c r="BA13" t="s">
        <v>108</v>
      </c>
      <c r="BB13" t="s">
        <v>288</v>
      </c>
      <c r="BC13" t="s">
        <v>288</v>
      </c>
      <c r="BD13" t="s">
        <v>148</v>
      </c>
      <c r="BE13" t="s">
        <v>109</v>
      </c>
      <c r="BF13">
        <v>996425</v>
      </c>
      <c r="BG13" t="s">
        <v>244</v>
      </c>
      <c r="BH13" t="s">
        <v>280</v>
      </c>
      <c r="BI13" t="s">
        <v>270</v>
      </c>
      <c r="BJ13">
        <v>1665</v>
      </c>
      <c r="BL13">
        <v>396</v>
      </c>
      <c r="BM13">
        <v>0</v>
      </c>
      <c r="BN13">
        <v>0</v>
      </c>
      <c r="BO13">
        <v>0.26456849999999998</v>
      </c>
      <c r="BP13" t="s">
        <v>290</v>
      </c>
      <c r="BU13">
        <v>9</v>
      </c>
      <c r="BV13" t="s">
        <v>291</v>
      </c>
      <c r="CA13">
        <v>396</v>
      </c>
      <c r="CB13" t="s">
        <v>154</v>
      </c>
      <c r="CC13" t="s">
        <v>222</v>
      </c>
      <c r="CE13" t="s">
        <v>111</v>
      </c>
      <c r="CF13" t="s">
        <v>292</v>
      </c>
      <c r="CJ13" t="s">
        <v>270</v>
      </c>
      <c r="CK13" t="s">
        <v>112</v>
      </c>
    </row>
    <row r="14" spans="1:91" x14ac:dyDescent="0.3">
      <c r="A14" t="s">
        <v>310</v>
      </c>
      <c r="B14" t="s">
        <v>114</v>
      </c>
      <c r="C14" t="s">
        <v>114</v>
      </c>
      <c r="D14" t="s">
        <v>121</v>
      </c>
      <c r="E14" t="s">
        <v>93</v>
      </c>
      <c r="F14" t="s">
        <v>311</v>
      </c>
      <c r="G14" t="s">
        <v>312</v>
      </c>
      <c r="H14">
        <v>3701618</v>
      </c>
      <c r="I14" t="s">
        <v>313</v>
      </c>
      <c r="K14" t="s">
        <v>314</v>
      </c>
      <c r="L14" t="s">
        <v>113</v>
      </c>
      <c r="M14" t="s">
        <v>122</v>
      </c>
      <c r="N14" t="s">
        <v>315</v>
      </c>
      <c r="O14" t="s">
        <v>96</v>
      </c>
      <c r="P14" t="s">
        <v>316</v>
      </c>
      <c r="Q14">
        <v>8280</v>
      </c>
      <c r="R14">
        <v>0</v>
      </c>
      <c r="S14">
        <v>382</v>
      </c>
      <c r="T14">
        <v>414</v>
      </c>
      <c r="U14">
        <v>9076</v>
      </c>
      <c r="V14">
        <v>75</v>
      </c>
      <c r="W14" t="s">
        <v>317</v>
      </c>
      <c r="X14" t="s">
        <v>97</v>
      </c>
      <c r="Y14" t="s">
        <v>114</v>
      </c>
      <c r="Z14" t="s">
        <v>318</v>
      </c>
      <c r="AA14" t="s">
        <v>98</v>
      </c>
      <c r="AB14" t="s">
        <v>99</v>
      </c>
      <c r="AC14" t="s">
        <v>141</v>
      </c>
      <c r="AD14" t="s">
        <v>319</v>
      </c>
      <c r="AE14">
        <v>1388166</v>
      </c>
      <c r="AF14" t="s">
        <v>304</v>
      </c>
      <c r="AG14" t="s">
        <v>115</v>
      </c>
      <c r="AH14" t="s">
        <v>102</v>
      </c>
      <c r="AI14" t="s">
        <v>190</v>
      </c>
      <c r="AJ14" t="s">
        <v>320</v>
      </c>
      <c r="AK14" t="s">
        <v>187</v>
      </c>
      <c r="AL14">
        <v>800</v>
      </c>
      <c r="AM14">
        <v>0</v>
      </c>
      <c r="AN14">
        <v>44724877</v>
      </c>
      <c r="AO14" t="s">
        <v>114</v>
      </c>
      <c r="AP14" t="s">
        <v>208</v>
      </c>
      <c r="AR14" t="s">
        <v>105</v>
      </c>
      <c r="AS14" t="s">
        <v>106</v>
      </c>
      <c r="AT14" t="s">
        <v>107</v>
      </c>
      <c r="AY14">
        <v>9743374888</v>
      </c>
      <c r="AZ14" t="s">
        <v>222</v>
      </c>
      <c r="BA14" t="s">
        <v>108</v>
      </c>
      <c r="BB14" t="s">
        <v>316</v>
      </c>
      <c r="BC14" t="s">
        <v>316</v>
      </c>
      <c r="BD14" t="s">
        <v>148</v>
      </c>
      <c r="BE14" t="s">
        <v>109</v>
      </c>
      <c r="BF14">
        <v>996425</v>
      </c>
      <c r="BG14" t="s">
        <v>244</v>
      </c>
      <c r="BH14" t="s">
        <v>321</v>
      </c>
      <c r="BI14" t="s">
        <v>312</v>
      </c>
      <c r="BJ14">
        <v>1709</v>
      </c>
      <c r="BL14">
        <v>414</v>
      </c>
      <c r="BM14">
        <v>0</v>
      </c>
      <c r="BN14">
        <v>0</v>
      </c>
      <c r="BO14">
        <v>0.27156010000000003</v>
      </c>
      <c r="BP14" t="s">
        <v>322</v>
      </c>
      <c r="BU14">
        <v>9</v>
      </c>
      <c r="BV14" t="s">
        <v>117</v>
      </c>
      <c r="CA14">
        <v>414</v>
      </c>
      <c r="CB14" t="s">
        <v>154</v>
      </c>
      <c r="CC14" t="s">
        <v>222</v>
      </c>
      <c r="CE14" t="s">
        <v>111</v>
      </c>
      <c r="CF14" t="s">
        <v>323</v>
      </c>
      <c r="CJ14" t="s">
        <v>324</v>
      </c>
      <c r="CK14" t="s">
        <v>112</v>
      </c>
    </row>
    <row r="15" spans="1:91" x14ac:dyDescent="0.3">
      <c r="A15" t="s">
        <v>325</v>
      </c>
      <c r="B15" t="s">
        <v>114</v>
      </c>
      <c r="C15" t="s">
        <v>114</v>
      </c>
      <c r="D15" t="s">
        <v>121</v>
      </c>
      <c r="E15" t="s">
        <v>93</v>
      </c>
      <c r="F15" t="s">
        <v>311</v>
      </c>
      <c r="G15" t="s">
        <v>312</v>
      </c>
      <c r="H15">
        <v>3701618</v>
      </c>
      <c r="I15" t="s">
        <v>313</v>
      </c>
      <c r="K15" t="s">
        <v>326</v>
      </c>
      <c r="L15" t="s">
        <v>119</v>
      </c>
      <c r="M15" t="s">
        <v>122</v>
      </c>
      <c r="N15" t="s">
        <v>327</v>
      </c>
      <c r="O15" t="s">
        <v>96</v>
      </c>
      <c r="P15" t="s">
        <v>328</v>
      </c>
      <c r="Q15">
        <v>8140</v>
      </c>
      <c r="R15">
        <v>0</v>
      </c>
      <c r="S15">
        <v>958</v>
      </c>
      <c r="T15">
        <v>407</v>
      </c>
      <c r="U15">
        <v>9505</v>
      </c>
      <c r="V15">
        <v>75</v>
      </c>
      <c r="W15" t="s">
        <v>317</v>
      </c>
      <c r="X15" t="s">
        <v>97</v>
      </c>
      <c r="Y15" t="s">
        <v>114</v>
      </c>
      <c r="Z15" t="s">
        <v>318</v>
      </c>
      <c r="AA15" t="s">
        <v>98</v>
      </c>
      <c r="AB15" t="s">
        <v>99</v>
      </c>
      <c r="AC15" t="s">
        <v>141</v>
      </c>
      <c r="AD15" t="s">
        <v>329</v>
      </c>
      <c r="AE15">
        <v>1388166</v>
      </c>
      <c r="AF15" t="s">
        <v>304</v>
      </c>
      <c r="AG15" t="s">
        <v>115</v>
      </c>
      <c r="AH15" t="s">
        <v>102</v>
      </c>
      <c r="AI15" t="s">
        <v>190</v>
      </c>
      <c r="AJ15" t="s">
        <v>320</v>
      </c>
      <c r="AK15" t="s">
        <v>201</v>
      </c>
      <c r="AL15">
        <v>800</v>
      </c>
      <c r="AM15">
        <v>0</v>
      </c>
      <c r="AN15">
        <v>44724877</v>
      </c>
      <c r="AO15" t="s">
        <v>114</v>
      </c>
      <c r="AP15" t="s">
        <v>208</v>
      </c>
      <c r="AR15" t="s">
        <v>105</v>
      </c>
      <c r="AS15" t="s">
        <v>106</v>
      </c>
      <c r="AT15" t="s">
        <v>107</v>
      </c>
      <c r="AY15">
        <v>9743374888</v>
      </c>
      <c r="AZ15" t="s">
        <v>222</v>
      </c>
      <c r="BA15" t="s">
        <v>108</v>
      </c>
      <c r="BB15" t="s">
        <v>328</v>
      </c>
      <c r="BC15" t="s">
        <v>328</v>
      </c>
      <c r="BD15" t="s">
        <v>148</v>
      </c>
      <c r="BE15" t="s">
        <v>109</v>
      </c>
      <c r="BF15">
        <v>996425</v>
      </c>
      <c r="BG15" t="s">
        <v>245</v>
      </c>
      <c r="BH15" t="s">
        <v>321</v>
      </c>
      <c r="BI15" t="s">
        <v>312</v>
      </c>
      <c r="BJ15">
        <v>1709</v>
      </c>
      <c r="BL15">
        <v>0</v>
      </c>
      <c r="BM15">
        <v>0</v>
      </c>
      <c r="BN15">
        <v>0</v>
      </c>
      <c r="BO15">
        <v>0.27156010000000003</v>
      </c>
      <c r="BP15" t="s">
        <v>330</v>
      </c>
      <c r="BU15">
        <v>7</v>
      </c>
      <c r="BV15" t="s">
        <v>120</v>
      </c>
      <c r="CA15">
        <v>407</v>
      </c>
      <c r="CB15" t="s">
        <v>154</v>
      </c>
      <c r="CC15" t="s">
        <v>222</v>
      </c>
      <c r="CE15" t="s">
        <v>111</v>
      </c>
      <c r="CF15" t="s">
        <v>331</v>
      </c>
      <c r="CJ15" t="s">
        <v>324</v>
      </c>
      <c r="CK15" t="s">
        <v>112</v>
      </c>
    </row>
    <row r="16" spans="1:91" x14ac:dyDescent="0.3">
      <c r="A16" t="s">
        <v>335</v>
      </c>
      <c r="B16" t="s">
        <v>293</v>
      </c>
      <c r="C16" t="s">
        <v>293</v>
      </c>
      <c r="D16" t="s">
        <v>336</v>
      </c>
      <c r="E16" t="s">
        <v>93</v>
      </c>
      <c r="F16" t="s">
        <v>337</v>
      </c>
      <c r="G16" t="s">
        <v>338</v>
      </c>
      <c r="I16" t="s">
        <v>339</v>
      </c>
      <c r="K16" t="s">
        <v>340</v>
      </c>
      <c r="L16" t="s">
        <v>332</v>
      </c>
      <c r="M16" t="s">
        <v>341</v>
      </c>
      <c r="N16" t="s">
        <v>342</v>
      </c>
      <c r="O16" t="s">
        <v>96</v>
      </c>
      <c r="P16" t="s">
        <v>343</v>
      </c>
      <c r="Q16">
        <v>0</v>
      </c>
      <c r="R16">
        <v>6723</v>
      </c>
      <c r="S16">
        <v>1595</v>
      </c>
      <c r="T16">
        <v>0</v>
      </c>
      <c r="U16">
        <v>8318</v>
      </c>
      <c r="V16">
        <v>75</v>
      </c>
      <c r="W16" t="s">
        <v>344</v>
      </c>
      <c r="X16" t="s">
        <v>97</v>
      </c>
      <c r="Y16" t="s">
        <v>293</v>
      </c>
      <c r="Z16" t="s">
        <v>345</v>
      </c>
      <c r="AA16" t="s">
        <v>98</v>
      </c>
      <c r="AB16" t="s">
        <v>99</v>
      </c>
      <c r="AC16" t="s">
        <v>141</v>
      </c>
      <c r="AD16" t="s">
        <v>346</v>
      </c>
      <c r="AE16">
        <v>6003228</v>
      </c>
      <c r="AF16" t="s">
        <v>194</v>
      </c>
      <c r="AG16" t="s">
        <v>101</v>
      </c>
      <c r="AH16" t="s">
        <v>102</v>
      </c>
      <c r="AI16" t="s">
        <v>195</v>
      </c>
      <c r="AJ16" t="s">
        <v>347</v>
      </c>
      <c r="AK16" t="s">
        <v>348</v>
      </c>
      <c r="AL16">
        <v>549</v>
      </c>
      <c r="AM16">
        <v>0</v>
      </c>
      <c r="AN16">
        <v>44759631</v>
      </c>
      <c r="AO16" t="s">
        <v>293</v>
      </c>
      <c r="AP16" t="s">
        <v>349</v>
      </c>
      <c r="AR16" t="s">
        <v>105</v>
      </c>
      <c r="AS16" t="s">
        <v>106</v>
      </c>
      <c r="AT16" t="s">
        <v>107</v>
      </c>
      <c r="AY16">
        <v>8010118799</v>
      </c>
      <c r="AZ16" t="s">
        <v>222</v>
      </c>
      <c r="BA16" t="s">
        <v>108</v>
      </c>
      <c r="BB16" t="s">
        <v>343</v>
      </c>
      <c r="BC16" t="s">
        <v>343</v>
      </c>
      <c r="BD16" t="s">
        <v>148</v>
      </c>
      <c r="BE16" t="s">
        <v>109</v>
      </c>
      <c r="BF16">
        <v>996425</v>
      </c>
      <c r="BG16" t="s">
        <v>245</v>
      </c>
      <c r="BH16" t="s">
        <v>350</v>
      </c>
      <c r="BI16" t="s">
        <v>338</v>
      </c>
      <c r="BJ16">
        <v>1454</v>
      </c>
      <c r="BL16">
        <v>0</v>
      </c>
      <c r="BM16">
        <v>0</v>
      </c>
      <c r="BN16">
        <v>0</v>
      </c>
      <c r="BO16">
        <v>0.23104060000000001</v>
      </c>
      <c r="BP16" t="s">
        <v>351</v>
      </c>
      <c r="BU16">
        <v>6</v>
      </c>
      <c r="BV16" t="s">
        <v>333</v>
      </c>
      <c r="CA16">
        <v>0</v>
      </c>
      <c r="CB16" t="s">
        <v>154</v>
      </c>
      <c r="CC16" t="s">
        <v>222</v>
      </c>
      <c r="CE16" t="s">
        <v>111</v>
      </c>
      <c r="CF16" t="s">
        <v>352</v>
      </c>
      <c r="CJ16" t="s">
        <v>353</v>
      </c>
      <c r="CK16" t="s">
        <v>103</v>
      </c>
    </row>
    <row r="17" spans="1:89" x14ac:dyDescent="0.3">
      <c r="A17" t="s">
        <v>355</v>
      </c>
      <c r="B17" t="s">
        <v>293</v>
      </c>
      <c r="C17" t="s">
        <v>293</v>
      </c>
      <c r="D17" t="s">
        <v>121</v>
      </c>
      <c r="E17" t="s">
        <v>93</v>
      </c>
      <c r="F17" t="s">
        <v>356</v>
      </c>
      <c r="G17" t="s">
        <v>357</v>
      </c>
      <c r="I17" t="s">
        <v>358</v>
      </c>
      <c r="K17" t="s">
        <v>359</v>
      </c>
      <c r="L17" t="s">
        <v>199</v>
      </c>
      <c r="M17" t="s">
        <v>95</v>
      </c>
      <c r="N17" t="s">
        <v>360</v>
      </c>
      <c r="O17" t="s">
        <v>96</v>
      </c>
      <c r="P17">
        <v>5808869063</v>
      </c>
      <c r="Q17">
        <v>13300</v>
      </c>
      <c r="R17">
        <v>0</v>
      </c>
      <c r="S17">
        <v>787</v>
      </c>
      <c r="T17">
        <v>665</v>
      </c>
      <c r="U17">
        <v>14752</v>
      </c>
      <c r="V17">
        <v>75</v>
      </c>
      <c r="W17" t="s">
        <v>361</v>
      </c>
      <c r="X17" t="s">
        <v>97</v>
      </c>
      <c r="Y17" t="s">
        <v>293</v>
      </c>
      <c r="Z17" t="s">
        <v>362</v>
      </c>
      <c r="AA17" t="s">
        <v>98</v>
      </c>
      <c r="AB17" t="s">
        <v>99</v>
      </c>
      <c r="AC17" t="s">
        <v>141</v>
      </c>
      <c r="AD17" t="s">
        <v>363</v>
      </c>
      <c r="AE17">
        <v>3937212</v>
      </c>
      <c r="AF17" t="s">
        <v>364</v>
      </c>
      <c r="AG17" t="s">
        <v>115</v>
      </c>
      <c r="AH17" t="s">
        <v>102</v>
      </c>
      <c r="AI17" t="s">
        <v>195</v>
      </c>
      <c r="AJ17" t="s">
        <v>365</v>
      </c>
      <c r="AK17" t="s">
        <v>197</v>
      </c>
      <c r="AL17">
        <v>749</v>
      </c>
      <c r="AM17">
        <v>170</v>
      </c>
      <c r="AN17">
        <v>44725527</v>
      </c>
      <c r="AO17" t="s">
        <v>293</v>
      </c>
      <c r="AP17" t="s">
        <v>366</v>
      </c>
      <c r="AR17" t="s">
        <v>105</v>
      </c>
      <c r="AS17" t="s">
        <v>106</v>
      </c>
      <c r="AT17" t="s">
        <v>107</v>
      </c>
      <c r="AY17">
        <v>7076663907</v>
      </c>
      <c r="AZ17" t="s">
        <v>222</v>
      </c>
      <c r="BA17" t="s">
        <v>108</v>
      </c>
      <c r="BB17" t="s">
        <v>367</v>
      </c>
      <c r="BC17" t="s">
        <v>368</v>
      </c>
      <c r="BD17" t="s">
        <v>148</v>
      </c>
      <c r="BE17" t="s">
        <v>109</v>
      </c>
      <c r="BF17">
        <v>996425</v>
      </c>
      <c r="BG17" t="s">
        <v>198</v>
      </c>
      <c r="BH17" t="s">
        <v>369</v>
      </c>
      <c r="BI17" t="s">
        <v>357</v>
      </c>
      <c r="BJ17">
        <v>1760</v>
      </c>
      <c r="BL17">
        <v>0</v>
      </c>
      <c r="BM17">
        <v>0</v>
      </c>
      <c r="BN17">
        <v>0</v>
      </c>
      <c r="BO17">
        <v>0.27966400000000002</v>
      </c>
      <c r="BP17" t="s">
        <v>370</v>
      </c>
      <c r="BU17">
        <v>3</v>
      </c>
      <c r="BV17" t="s">
        <v>204</v>
      </c>
      <c r="CA17">
        <v>665</v>
      </c>
      <c r="CB17" t="s">
        <v>154</v>
      </c>
      <c r="CC17" t="s">
        <v>222</v>
      </c>
      <c r="CE17" t="s">
        <v>111</v>
      </c>
      <c r="CF17" t="s">
        <v>371</v>
      </c>
      <c r="CJ17" t="s">
        <v>372</v>
      </c>
      <c r="CK17" t="s">
        <v>103</v>
      </c>
    </row>
    <row r="18" spans="1:89" x14ac:dyDescent="0.3">
      <c r="A18" t="s">
        <v>373</v>
      </c>
      <c r="B18" t="s">
        <v>293</v>
      </c>
      <c r="C18" t="s">
        <v>293</v>
      </c>
      <c r="D18" t="s">
        <v>121</v>
      </c>
      <c r="E18" t="s">
        <v>93</v>
      </c>
      <c r="F18" t="s">
        <v>356</v>
      </c>
      <c r="G18" t="s">
        <v>357</v>
      </c>
      <c r="I18" t="s">
        <v>358</v>
      </c>
      <c r="K18" t="s">
        <v>374</v>
      </c>
      <c r="L18" t="s">
        <v>205</v>
      </c>
      <c r="M18" t="s">
        <v>375</v>
      </c>
      <c r="N18" t="s">
        <v>376</v>
      </c>
      <c r="O18" t="s">
        <v>96</v>
      </c>
      <c r="P18" t="s">
        <v>377</v>
      </c>
      <c r="Q18">
        <v>7760</v>
      </c>
      <c r="R18">
        <v>0</v>
      </c>
      <c r="S18">
        <v>378</v>
      </c>
      <c r="T18">
        <v>388</v>
      </c>
      <c r="U18">
        <v>8526</v>
      </c>
      <c r="V18">
        <v>75</v>
      </c>
      <c r="W18" t="s">
        <v>361</v>
      </c>
      <c r="X18" t="s">
        <v>97</v>
      </c>
      <c r="Y18" t="s">
        <v>293</v>
      </c>
      <c r="Z18" t="s">
        <v>362</v>
      </c>
      <c r="AA18" t="s">
        <v>162</v>
      </c>
      <c r="AB18" t="s">
        <v>99</v>
      </c>
      <c r="AC18" t="s">
        <v>141</v>
      </c>
      <c r="AD18" t="s">
        <v>378</v>
      </c>
      <c r="AE18">
        <v>3937212</v>
      </c>
      <c r="AF18" t="s">
        <v>364</v>
      </c>
      <c r="AG18" t="s">
        <v>115</v>
      </c>
      <c r="AH18" t="s">
        <v>102</v>
      </c>
      <c r="AI18" t="s">
        <v>195</v>
      </c>
      <c r="AJ18" t="s">
        <v>365</v>
      </c>
      <c r="AK18" t="s">
        <v>379</v>
      </c>
      <c r="AL18">
        <v>699</v>
      </c>
      <c r="AM18">
        <v>0</v>
      </c>
      <c r="AN18">
        <v>44725527</v>
      </c>
      <c r="AO18" t="s">
        <v>293</v>
      </c>
      <c r="AP18" t="s">
        <v>366</v>
      </c>
      <c r="AR18" t="s">
        <v>105</v>
      </c>
      <c r="AS18" t="s">
        <v>106</v>
      </c>
      <c r="AT18" t="s">
        <v>107</v>
      </c>
      <c r="AY18">
        <v>7076663907</v>
      </c>
      <c r="AZ18" t="s">
        <v>222</v>
      </c>
      <c r="BA18" t="s">
        <v>108</v>
      </c>
      <c r="BB18" t="s">
        <v>377</v>
      </c>
      <c r="BC18" t="s">
        <v>377</v>
      </c>
      <c r="BD18" t="s">
        <v>148</v>
      </c>
      <c r="BE18" t="s">
        <v>109</v>
      </c>
      <c r="BF18">
        <v>996425</v>
      </c>
      <c r="BG18" t="s">
        <v>189</v>
      </c>
      <c r="BH18" t="s">
        <v>369</v>
      </c>
      <c r="BI18" t="s">
        <v>357</v>
      </c>
      <c r="BJ18">
        <v>1760</v>
      </c>
      <c r="BL18">
        <v>388</v>
      </c>
      <c r="BM18">
        <v>0</v>
      </c>
      <c r="BN18">
        <v>0</v>
      </c>
      <c r="BO18">
        <v>0.27966400000000002</v>
      </c>
      <c r="BP18" t="s">
        <v>380</v>
      </c>
      <c r="BU18">
        <v>1</v>
      </c>
      <c r="BV18" t="s">
        <v>207</v>
      </c>
      <c r="CA18">
        <v>388</v>
      </c>
      <c r="CB18" t="s">
        <v>154</v>
      </c>
      <c r="CC18" t="s">
        <v>222</v>
      </c>
      <c r="CE18" t="s">
        <v>111</v>
      </c>
      <c r="CF18" t="s">
        <v>381</v>
      </c>
      <c r="CJ18" t="s">
        <v>372</v>
      </c>
      <c r="CK18" t="s">
        <v>103</v>
      </c>
    </row>
    <row r="19" spans="1:89" x14ac:dyDescent="0.3">
      <c r="A19" t="s">
        <v>385</v>
      </c>
      <c r="B19" t="s">
        <v>293</v>
      </c>
      <c r="C19" t="s">
        <v>293</v>
      </c>
      <c r="D19" t="s">
        <v>121</v>
      </c>
      <c r="E19" t="s">
        <v>93</v>
      </c>
      <c r="F19" t="s">
        <v>356</v>
      </c>
      <c r="G19" t="s">
        <v>357</v>
      </c>
      <c r="I19" t="s">
        <v>358</v>
      </c>
      <c r="K19" t="s">
        <v>386</v>
      </c>
      <c r="L19" t="s">
        <v>387</v>
      </c>
      <c r="M19" t="s">
        <v>122</v>
      </c>
      <c r="N19" t="s">
        <v>388</v>
      </c>
      <c r="O19" t="s">
        <v>96</v>
      </c>
      <c r="P19" t="s">
        <v>389</v>
      </c>
      <c r="Q19">
        <v>6100</v>
      </c>
      <c r="R19">
        <v>0</v>
      </c>
      <c r="S19">
        <v>381</v>
      </c>
      <c r="T19">
        <v>305</v>
      </c>
      <c r="U19">
        <v>6786</v>
      </c>
      <c r="V19">
        <v>75</v>
      </c>
      <c r="W19" t="s">
        <v>361</v>
      </c>
      <c r="X19" t="s">
        <v>97</v>
      </c>
      <c r="Y19" t="s">
        <v>293</v>
      </c>
      <c r="Z19" t="s">
        <v>390</v>
      </c>
      <c r="AA19" t="s">
        <v>98</v>
      </c>
      <c r="AB19" t="s">
        <v>99</v>
      </c>
      <c r="AC19" t="s">
        <v>141</v>
      </c>
      <c r="AD19" t="s">
        <v>391</v>
      </c>
      <c r="AE19">
        <v>3937212</v>
      </c>
      <c r="AF19" t="s">
        <v>364</v>
      </c>
      <c r="AG19" t="s">
        <v>101</v>
      </c>
      <c r="AH19" t="s">
        <v>102</v>
      </c>
      <c r="AI19" t="s">
        <v>195</v>
      </c>
      <c r="AJ19" t="s">
        <v>365</v>
      </c>
      <c r="AK19" t="s">
        <v>129</v>
      </c>
      <c r="AL19">
        <v>400</v>
      </c>
      <c r="AM19">
        <v>0</v>
      </c>
      <c r="AN19">
        <v>44773152</v>
      </c>
      <c r="AO19" t="s">
        <v>293</v>
      </c>
      <c r="AP19" t="s">
        <v>392</v>
      </c>
      <c r="AR19" t="s">
        <v>105</v>
      </c>
      <c r="AS19" t="s">
        <v>266</v>
      </c>
      <c r="AT19" t="s">
        <v>107</v>
      </c>
      <c r="AY19">
        <v>7076663907</v>
      </c>
      <c r="AZ19" t="s">
        <v>222</v>
      </c>
      <c r="BA19" t="s">
        <v>108</v>
      </c>
      <c r="BB19" t="s">
        <v>389</v>
      </c>
      <c r="BC19" t="s">
        <v>389</v>
      </c>
      <c r="BD19" t="s">
        <v>148</v>
      </c>
      <c r="BE19" t="s">
        <v>109</v>
      </c>
      <c r="BF19">
        <v>996425</v>
      </c>
      <c r="BG19" t="s">
        <v>128</v>
      </c>
      <c r="BH19" t="s">
        <v>369</v>
      </c>
      <c r="BI19" t="s">
        <v>357</v>
      </c>
      <c r="BJ19">
        <v>886</v>
      </c>
      <c r="BL19">
        <v>305</v>
      </c>
      <c r="BM19">
        <v>0</v>
      </c>
      <c r="BN19">
        <v>0</v>
      </c>
      <c r="BO19">
        <v>0.1407854</v>
      </c>
      <c r="BP19" t="s">
        <v>393</v>
      </c>
      <c r="BU19">
        <v>7</v>
      </c>
      <c r="BV19" t="s">
        <v>394</v>
      </c>
      <c r="CA19">
        <v>305</v>
      </c>
      <c r="CB19" t="s">
        <v>154</v>
      </c>
      <c r="CC19" t="s">
        <v>222</v>
      </c>
      <c r="CE19" t="s">
        <v>111</v>
      </c>
      <c r="CF19" t="s">
        <v>395</v>
      </c>
      <c r="CJ19" t="s">
        <v>372</v>
      </c>
      <c r="CK19" t="s">
        <v>103</v>
      </c>
    </row>
    <row r="20" spans="1:89" x14ac:dyDescent="0.3">
      <c r="A20" t="s">
        <v>396</v>
      </c>
      <c r="B20" t="s">
        <v>293</v>
      </c>
      <c r="C20" t="s">
        <v>293</v>
      </c>
      <c r="D20" t="s">
        <v>121</v>
      </c>
      <c r="E20" t="s">
        <v>93</v>
      </c>
      <c r="F20" t="s">
        <v>356</v>
      </c>
      <c r="G20" t="s">
        <v>357</v>
      </c>
      <c r="I20" t="s">
        <v>358</v>
      </c>
      <c r="K20" t="s">
        <v>397</v>
      </c>
      <c r="L20" t="s">
        <v>191</v>
      </c>
      <c r="M20" t="s">
        <v>122</v>
      </c>
      <c r="N20" t="s">
        <v>398</v>
      </c>
      <c r="O20" t="s">
        <v>96</v>
      </c>
      <c r="P20" t="s">
        <v>399</v>
      </c>
      <c r="Q20">
        <v>6200</v>
      </c>
      <c r="R20">
        <v>0</v>
      </c>
      <c r="S20">
        <v>1233</v>
      </c>
      <c r="T20">
        <v>310</v>
      </c>
      <c r="U20">
        <v>7743</v>
      </c>
      <c r="V20">
        <v>75</v>
      </c>
      <c r="W20" t="s">
        <v>361</v>
      </c>
      <c r="X20" t="s">
        <v>97</v>
      </c>
      <c r="Y20" t="s">
        <v>293</v>
      </c>
      <c r="Z20" t="s">
        <v>400</v>
      </c>
      <c r="AA20" t="s">
        <v>98</v>
      </c>
      <c r="AB20" t="s">
        <v>99</v>
      </c>
      <c r="AC20" t="s">
        <v>141</v>
      </c>
      <c r="AD20" t="s">
        <v>401</v>
      </c>
      <c r="AE20">
        <v>3937212</v>
      </c>
      <c r="AF20" t="s">
        <v>364</v>
      </c>
      <c r="AG20" t="s">
        <v>101</v>
      </c>
      <c r="AH20" t="s">
        <v>102</v>
      </c>
      <c r="AI20" t="s">
        <v>195</v>
      </c>
      <c r="AJ20" t="s">
        <v>365</v>
      </c>
      <c r="AK20" t="s">
        <v>187</v>
      </c>
      <c r="AL20">
        <v>600</v>
      </c>
      <c r="AM20">
        <v>0</v>
      </c>
      <c r="AN20">
        <v>44775874</v>
      </c>
      <c r="AO20" t="s">
        <v>293</v>
      </c>
      <c r="AP20" t="s">
        <v>390</v>
      </c>
      <c r="AR20" t="s">
        <v>105</v>
      </c>
      <c r="AS20" t="s">
        <v>266</v>
      </c>
      <c r="AT20" t="s">
        <v>107</v>
      </c>
      <c r="AY20">
        <v>7076663907</v>
      </c>
      <c r="AZ20" t="s">
        <v>222</v>
      </c>
      <c r="BA20" t="s">
        <v>108</v>
      </c>
      <c r="BB20" t="s">
        <v>399</v>
      </c>
      <c r="BC20" t="s">
        <v>399</v>
      </c>
      <c r="BD20" t="s">
        <v>148</v>
      </c>
      <c r="BE20" t="s">
        <v>109</v>
      </c>
      <c r="BF20">
        <v>996425</v>
      </c>
      <c r="BG20" t="s">
        <v>263</v>
      </c>
      <c r="BH20" t="s">
        <v>369</v>
      </c>
      <c r="BI20" t="s">
        <v>357</v>
      </c>
      <c r="BJ20">
        <v>1007</v>
      </c>
      <c r="BL20">
        <v>310</v>
      </c>
      <c r="BM20">
        <v>0</v>
      </c>
      <c r="BN20">
        <v>0</v>
      </c>
      <c r="BO20">
        <v>0.1600123</v>
      </c>
      <c r="BP20" t="s">
        <v>402</v>
      </c>
      <c r="BU20">
        <v>12</v>
      </c>
      <c r="BV20" t="s">
        <v>192</v>
      </c>
      <c r="CA20">
        <v>310</v>
      </c>
      <c r="CB20" t="s">
        <v>154</v>
      </c>
      <c r="CC20" t="s">
        <v>222</v>
      </c>
      <c r="CE20" t="s">
        <v>111</v>
      </c>
      <c r="CF20" t="s">
        <v>403</v>
      </c>
      <c r="CJ20" t="s">
        <v>372</v>
      </c>
      <c r="CK20" t="s">
        <v>103</v>
      </c>
    </row>
    <row r="21" spans="1:89" x14ac:dyDescent="0.3">
      <c r="A21" t="s">
        <v>407</v>
      </c>
      <c r="B21" t="s">
        <v>404</v>
      </c>
      <c r="C21" t="s">
        <v>404</v>
      </c>
      <c r="D21" t="s">
        <v>121</v>
      </c>
      <c r="E21" t="s">
        <v>93</v>
      </c>
      <c r="F21" t="s">
        <v>356</v>
      </c>
      <c r="G21" t="s">
        <v>357</v>
      </c>
      <c r="I21" t="s">
        <v>358</v>
      </c>
      <c r="K21" t="s">
        <v>408</v>
      </c>
      <c r="L21" t="s">
        <v>205</v>
      </c>
      <c r="M21" t="s">
        <v>122</v>
      </c>
      <c r="N21" t="s">
        <v>409</v>
      </c>
      <c r="O21" t="s">
        <v>96</v>
      </c>
      <c r="P21" t="s">
        <v>410</v>
      </c>
      <c r="Q21">
        <v>9240</v>
      </c>
      <c r="R21">
        <v>0</v>
      </c>
      <c r="S21">
        <v>397</v>
      </c>
      <c r="T21">
        <v>462</v>
      </c>
      <c r="U21">
        <v>10099</v>
      </c>
      <c r="V21">
        <v>75</v>
      </c>
      <c r="W21" t="s">
        <v>361</v>
      </c>
      <c r="X21" t="s">
        <v>97</v>
      </c>
      <c r="Y21" t="s">
        <v>404</v>
      </c>
      <c r="Z21" t="s">
        <v>411</v>
      </c>
      <c r="AA21" t="s">
        <v>98</v>
      </c>
      <c r="AB21" t="s">
        <v>99</v>
      </c>
      <c r="AC21" t="s">
        <v>141</v>
      </c>
      <c r="AD21" t="s">
        <v>412</v>
      </c>
      <c r="AE21">
        <v>3937212</v>
      </c>
      <c r="AF21" t="s">
        <v>364</v>
      </c>
      <c r="AG21" t="s">
        <v>101</v>
      </c>
      <c r="AH21" t="s">
        <v>102</v>
      </c>
      <c r="AI21" t="s">
        <v>195</v>
      </c>
      <c r="AJ21" t="s">
        <v>365</v>
      </c>
      <c r="AK21" t="s">
        <v>187</v>
      </c>
      <c r="AL21">
        <v>800</v>
      </c>
      <c r="AM21">
        <v>0</v>
      </c>
      <c r="AN21">
        <v>44787679</v>
      </c>
      <c r="AO21" t="s">
        <v>404</v>
      </c>
      <c r="AP21" t="s">
        <v>413</v>
      </c>
      <c r="AR21" t="s">
        <v>105</v>
      </c>
      <c r="AS21" t="s">
        <v>106</v>
      </c>
      <c r="AT21" t="s">
        <v>107</v>
      </c>
      <c r="AY21">
        <v>7076663907</v>
      </c>
      <c r="AZ21" t="s">
        <v>222</v>
      </c>
      <c r="BA21" t="s">
        <v>108</v>
      </c>
      <c r="BB21" t="s">
        <v>410</v>
      </c>
      <c r="BC21" t="s">
        <v>410</v>
      </c>
      <c r="BD21" t="s">
        <v>148</v>
      </c>
      <c r="BE21" t="s">
        <v>109</v>
      </c>
      <c r="BF21">
        <v>996425</v>
      </c>
      <c r="BG21" t="s">
        <v>189</v>
      </c>
      <c r="BH21" t="s">
        <v>369</v>
      </c>
      <c r="BI21" t="s">
        <v>357</v>
      </c>
      <c r="BJ21">
        <v>1760</v>
      </c>
      <c r="BL21">
        <v>462</v>
      </c>
      <c r="BM21">
        <v>0</v>
      </c>
      <c r="BN21">
        <v>0</v>
      </c>
      <c r="BO21">
        <v>0.27966400000000002</v>
      </c>
      <c r="BP21" t="s">
        <v>414</v>
      </c>
      <c r="BU21">
        <v>0</v>
      </c>
      <c r="BV21" t="s">
        <v>207</v>
      </c>
      <c r="CA21">
        <v>462</v>
      </c>
      <c r="CB21" t="s">
        <v>154</v>
      </c>
      <c r="CC21" t="s">
        <v>222</v>
      </c>
      <c r="CE21" t="s">
        <v>111</v>
      </c>
      <c r="CF21" t="s">
        <v>415</v>
      </c>
      <c r="CJ21" t="s">
        <v>372</v>
      </c>
      <c r="CK21" t="s">
        <v>103</v>
      </c>
    </row>
    <row r="22" spans="1:89" x14ac:dyDescent="0.3">
      <c r="A22" t="s">
        <v>416</v>
      </c>
      <c r="B22" t="s">
        <v>404</v>
      </c>
      <c r="C22" t="s">
        <v>404</v>
      </c>
      <c r="D22" t="s">
        <v>210</v>
      </c>
      <c r="E22" t="s">
        <v>93</v>
      </c>
      <c r="F22" t="s">
        <v>215</v>
      </c>
      <c r="G22" t="s">
        <v>224</v>
      </c>
      <c r="H22">
        <v>3701618</v>
      </c>
      <c r="I22" t="s">
        <v>213</v>
      </c>
      <c r="K22" t="s">
        <v>417</v>
      </c>
      <c r="L22" t="s">
        <v>286</v>
      </c>
      <c r="M22" t="s">
        <v>95</v>
      </c>
      <c r="N22" t="s">
        <v>418</v>
      </c>
      <c r="O22" t="s">
        <v>96</v>
      </c>
      <c r="P22">
        <v>5808907262</v>
      </c>
      <c r="Q22">
        <v>7840</v>
      </c>
      <c r="R22">
        <v>0</v>
      </c>
      <c r="S22">
        <v>967</v>
      </c>
      <c r="T22">
        <v>392</v>
      </c>
      <c r="U22">
        <v>9199</v>
      </c>
      <c r="V22">
        <v>75</v>
      </c>
      <c r="W22" t="s">
        <v>269</v>
      </c>
      <c r="X22" t="s">
        <v>97</v>
      </c>
      <c r="Y22" t="s">
        <v>404</v>
      </c>
      <c r="Z22" t="s">
        <v>419</v>
      </c>
      <c r="AA22" t="s">
        <v>162</v>
      </c>
      <c r="AB22" t="s">
        <v>99</v>
      </c>
      <c r="AC22" t="s">
        <v>141</v>
      </c>
      <c r="AD22" t="s">
        <v>420</v>
      </c>
      <c r="AE22">
        <v>1388087</v>
      </c>
      <c r="AF22" t="s">
        <v>421</v>
      </c>
      <c r="AG22" t="s">
        <v>115</v>
      </c>
      <c r="AH22" t="s">
        <v>102</v>
      </c>
      <c r="AI22" t="s">
        <v>196</v>
      </c>
      <c r="AJ22" t="s">
        <v>422</v>
      </c>
      <c r="AK22" t="s">
        <v>264</v>
      </c>
      <c r="AL22">
        <v>749</v>
      </c>
      <c r="AM22">
        <v>170</v>
      </c>
      <c r="AN22">
        <v>44798324</v>
      </c>
      <c r="AO22" t="s">
        <v>404</v>
      </c>
      <c r="AP22" t="s">
        <v>423</v>
      </c>
      <c r="AR22" t="s">
        <v>105</v>
      </c>
      <c r="AS22" t="s">
        <v>106</v>
      </c>
      <c r="AT22" t="s">
        <v>107</v>
      </c>
      <c r="AY22">
        <v>9971252225</v>
      </c>
      <c r="AZ22" t="s">
        <v>222</v>
      </c>
      <c r="BA22" t="s">
        <v>108</v>
      </c>
      <c r="BB22" t="s">
        <v>424</v>
      </c>
      <c r="BC22" t="s">
        <v>425</v>
      </c>
      <c r="BD22" t="s">
        <v>148</v>
      </c>
      <c r="BE22" t="s">
        <v>109</v>
      </c>
      <c r="BF22">
        <v>996425</v>
      </c>
      <c r="BG22" t="s">
        <v>245</v>
      </c>
      <c r="BH22" t="s">
        <v>426</v>
      </c>
      <c r="BI22" t="s">
        <v>156</v>
      </c>
      <c r="BJ22">
        <v>1665</v>
      </c>
      <c r="BL22">
        <v>0</v>
      </c>
      <c r="BM22">
        <v>0</v>
      </c>
      <c r="BN22">
        <v>0</v>
      </c>
      <c r="BO22">
        <v>0.26456849999999998</v>
      </c>
      <c r="BP22" t="s">
        <v>427</v>
      </c>
      <c r="BU22">
        <v>5</v>
      </c>
      <c r="BV22" t="s">
        <v>291</v>
      </c>
      <c r="CA22">
        <v>392</v>
      </c>
      <c r="CB22" t="s">
        <v>154</v>
      </c>
      <c r="CC22" t="s">
        <v>222</v>
      </c>
      <c r="CE22" t="s">
        <v>111</v>
      </c>
      <c r="CF22" t="s">
        <v>428</v>
      </c>
      <c r="CJ22" t="s">
        <v>270</v>
      </c>
      <c r="CK22" t="s">
        <v>112</v>
      </c>
    </row>
    <row r="23" spans="1:89" x14ac:dyDescent="0.3">
      <c r="A23" t="s">
        <v>429</v>
      </c>
      <c r="B23" t="s">
        <v>404</v>
      </c>
      <c r="C23" t="s">
        <v>404</v>
      </c>
      <c r="D23" t="s">
        <v>210</v>
      </c>
      <c r="E23" t="s">
        <v>93</v>
      </c>
      <c r="F23" t="s">
        <v>215</v>
      </c>
      <c r="G23" t="s">
        <v>224</v>
      </c>
      <c r="H23">
        <v>3701618</v>
      </c>
      <c r="I23" t="s">
        <v>213</v>
      </c>
      <c r="K23" t="s">
        <v>430</v>
      </c>
      <c r="L23" t="s">
        <v>273</v>
      </c>
      <c r="M23" t="s">
        <v>95</v>
      </c>
      <c r="N23" t="s">
        <v>431</v>
      </c>
      <c r="O23" t="s">
        <v>96</v>
      </c>
      <c r="P23">
        <v>5808907264</v>
      </c>
      <c r="Q23">
        <v>7840</v>
      </c>
      <c r="R23">
        <v>0</v>
      </c>
      <c r="S23">
        <v>439</v>
      </c>
      <c r="T23">
        <v>392</v>
      </c>
      <c r="U23">
        <v>8671</v>
      </c>
      <c r="V23">
        <v>75</v>
      </c>
      <c r="W23" t="s">
        <v>269</v>
      </c>
      <c r="X23" t="s">
        <v>97</v>
      </c>
      <c r="Y23" t="s">
        <v>404</v>
      </c>
      <c r="Z23" t="s">
        <v>419</v>
      </c>
      <c r="AA23" t="s">
        <v>98</v>
      </c>
      <c r="AB23" t="s">
        <v>99</v>
      </c>
      <c r="AC23" t="s">
        <v>141</v>
      </c>
      <c r="AD23" t="s">
        <v>432</v>
      </c>
      <c r="AE23">
        <v>1388087</v>
      </c>
      <c r="AF23" t="s">
        <v>421</v>
      </c>
      <c r="AG23" t="s">
        <v>115</v>
      </c>
      <c r="AH23" t="s">
        <v>102</v>
      </c>
      <c r="AI23" t="s">
        <v>196</v>
      </c>
      <c r="AJ23" t="s">
        <v>422</v>
      </c>
      <c r="AK23" t="s">
        <v>264</v>
      </c>
      <c r="AL23">
        <v>749</v>
      </c>
      <c r="AM23">
        <v>170</v>
      </c>
      <c r="AN23">
        <v>44798324</v>
      </c>
      <c r="AO23" t="s">
        <v>404</v>
      </c>
      <c r="AP23" t="s">
        <v>423</v>
      </c>
      <c r="AR23" t="s">
        <v>105</v>
      </c>
      <c r="AS23" t="s">
        <v>106</v>
      </c>
      <c r="AT23" t="s">
        <v>107</v>
      </c>
      <c r="AY23">
        <v>9971252225</v>
      </c>
      <c r="AZ23" t="s">
        <v>222</v>
      </c>
      <c r="BA23" t="s">
        <v>108</v>
      </c>
      <c r="BB23" t="s">
        <v>433</v>
      </c>
      <c r="BC23" t="s">
        <v>434</v>
      </c>
      <c r="BD23" t="s">
        <v>148</v>
      </c>
      <c r="BE23" t="s">
        <v>109</v>
      </c>
      <c r="BF23">
        <v>996425</v>
      </c>
      <c r="BG23" t="s">
        <v>203</v>
      </c>
      <c r="BH23" t="s">
        <v>426</v>
      </c>
      <c r="BI23" t="s">
        <v>156</v>
      </c>
      <c r="BJ23">
        <v>1665</v>
      </c>
      <c r="BL23">
        <v>0</v>
      </c>
      <c r="BM23">
        <v>0</v>
      </c>
      <c r="BN23">
        <v>0</v>
      </c>
      <c r="BO23">
        <v>0.26456849999999998</v>
      </c>
      <c r="BP23" t="s">
        <v>248</v>
      </c>
      <c r="BU23">
        <v>8</v>
      </c>
      <c r="BV23" t="s">
        <v>282</v>
      </c>
      <c r="CA23">
        <v>392</v>
      </c>
      <c r="CB23" t="s">
        <v>154</v>
      </c>
      <c r="CC23" t="s">
        <v>222</v>
      </c>
      <c r="CE23" t="s">
        <v>111</v>
      </c>
      <c r="CF23" t="s">
        <v>435</v>
      </c>
      <c r="CJ23" t="s">
        <v>270</v>
      </c>
      <c r="CK23" t="s">
        <v>112</v>
      </c>
    </row>
    <row r="24" spans="1:89" x14ac:dyDescent="0.3">
      <c r="A24" t="s">
        <v>440</v>
      </c>
      <c r="B24" t="s">
        <v>404</v>
      </c>
      <c r="C24" t="s">
        <v>404</v>
      </c>
      <c r="D24" t="s">
        <v>210</v>
      </c>
      <c r="E24" t="s">
        <v>93</v>
      </c>
      <c r="F24" t="s">
        <v>215</v>
      </c>
      <c r="G24" t="s">
        <v>224</v>
      </c>
      <c r="H24">
        <v>3701618</v>
      </c>
      <c r="I24" t="s">
        <v>213</v>
      </c>
      <c r="K24" t="s">
        <v>441</v>
      </c>
      <c r="L24" t="s">
        <v>286</v>
      </c>
      <c r="M24" t="s">
        <v>122</v>
      </c>
      <c r="N24" t="s">
        <v>442</v>
      </c>
      <c r="O24" t="s">
        <v>96</v>
      </c>
      <c r="P24" t="s">
        <v>443</v>
      </c>
      <c r="Q24">
        <v>8220</v>
      </c>
      <c r="R24">
        <v>0</v>
      </c>
      <c r="S24">
        <v>978</v>
      </c>
      <c r="T24">
        <v>411</v>
      </c>
      <c r="U24">
        <v>9609</v>
      </c>
      <c r="V24">
        <v>75</v>
      </c>
      <c r="W24" t="s">
        <v>269</v>
      </c>
      <c r="X24" t="s">
        <v>97</v>
      </c>
      <c r="Y24" t="s">
        <v>404</v>
      </c>
      <c r="Z24" t="s">
        <v>444</v>
      </c>
      <c r="AA24" t="s">
        <v>98</v>
      </c>
      <c r="AB24" t="s">
        <v>99</v>
      </c>
      <c r="AC24" t="s">
        <v>141</v>
      </c>
      <c r="AD24" t="s">
        <v>445</v>
      </c>
      <c r="AE24">
        <v>1388087</v>
      </c>
      <c r="AF24" t="s">
        <v>421</v>
      </c>
      <c r="AG24" t="s">
        <v>101</v>
      </c>
      <c r="AH24" t="s">
        <v>102</v>
      </c>
      <c r="AI24" t="s">
        <v>196</v>
      </c>
      <c r="AJ24" t="s">
        <v>422</v>
      </c>
      <c r="AK24" t="s">
        <v>187</v>
      </c>
      <c r="AL24">
        <v>800</v>
      </c>
      <c r="AM24">
        <v>0</v>
      </c>
      <c r="AN24">
        <v>44806175</v>
      </c>
      <c r="AO24" t="s">
        <v>404</v>
      </c>
      <c r="AP24" t="s">
        <v>242</v>
      </c>
      <c r="AR24" t="s">
        <v>105</v>
      </c>
      <c r="AS24" t="s">
        <v>106</v>
      </c>
      <c r="AT24" t="s">
        <v>107</v>
      </c>
      <c r="AY24">
        <v>9971252225</v>
      </c>
      <c r="AZ24" t="s">
        <v>222</v>
      </c>
      <c r="BA24" t="s">
        <v>108</v>
      </c>
      <c r="BB24" t="s">
        <v>443</v>
      </c>
      <c r="BC24" t="s">
        <v>443</v>
      </c>
      <c r="BD24" t="s">
        <v>148</v>
      </c>
      <c r="BE24" t="s">
        <v>109</v>
      </c>
      <c r="BF24">
        <v>996425</v>
      </c>
      <c r="BG24" t="s">
        <v>206</v>
      </c>
      <c r="BH24" t="s">
        <v>426</v>
      </c>
      <c r="BI24" t="s">
        <v>156</v>
      </c>
      <c r="BJ24">
        <v>1665</v>
      </c>
      <c r="BL24">
        <v>411</v>
      </c>
      <c r="BM24">
        <v>0</v>
      </c>
      <c r="BN24">
        <v>0</v>
      </c>
      <c r="BO24">
        <v>0.26456849999999998</v>
      </c>
      <c r="BP24" t="s">
        <v>446</v>
      </c>
      <c r="BU24">
        <v>4</v>
      </c>
      <c r="BV24" t="s">
        <v>291</v>
      </c>
      <c r="CA24">
        <v>411</v>
      </c>
      <c r="CB24" t="s">
        <v>154</v>
      </c>
      <c r="CC24" t="s">
        <v>222</v>
      </c>
      <c r="CE24" t="s">
        <v>111</v>
      </c>
      <c r="CF24" t="s">
        <v>447</v>
      </c>
      <c r="CJ24" t="s">
        <v>270</v>
      </c>
      <c r="CK24" t="s">
        <v>112</v>
      </c>
    </row>
    <row r="25" spans="1:89" x14ac:dyDescent="0.3">
      <c r="A25" t="s">
        <v>450</v>
      </c>
      <c r="B25" t="s">
        <v>404</v>
      </c>
      <c r="C25" t="s">
        <v>404</v>
      </c>
      <c r="D25" t="s">
        <v>268</v>
      </c>
      <c r="E25" t="s">
        <v>93</v>
      </c>
      <c r="F25" t="s">
        <v>269</v>
      </c>
      <c r="G25" t="s">
        <v>270</v>
      </c>
      <c r="H25">
        <v>3701618</v>
      </c>
      <c r="I25" t="s">
        <v>271</v>
      </c>
      <c r="K25" t="s">
        <v>451</v>
      </c>
      <c r="L25" t="s">
        <v>295</v>
      </c>
      <c r="M25" t="s">
        <v>122</v>
      </c>
      <c r="N25" t="s">
        <v>452</v>
      </c>
      <c r="O25" t="s">
        <v>96</v>
      </c>
      <c r="P25" t="s">
        <v>453</v>
      </c>
      <c r="Q25">
        <v>7560</v>
      </c>
      <c r="R25">
        <v>0</v>
      </c>
      <c r="S25">
        <v>485</v>
      </c>
      <c r="T25">
        <v>378</v>
      </c>
      <c r="U25">
        <v>8423</v>
      </c>
      <c r="V25">
        <v>0</v>
      </c>
      <c r="W25" t="s">
        <v>269</v>
      </c>
      <c r="X25" t="s">
        <v>97</v>
      </c>
      <c r="Y25" t="s">
        <v>404</v>
      </c>
      <c r="Z25" t="s">
        <v>437</v>
      </c>
      <c r="AA25" t="s">
        <v>162</v>
      </c>
      <c r="AB25" t="s">
        <v>99</v>
      </c>
      <c r="AC25" t="s">
        <v>141</v>
      </c>
      <c r="AD25" t="s">
        <v>454</v>
      </c>
      <c r="AE25">
        <v>1388000</v>
      </c>
      <c r="AF25" t="s">
        <v>278</v>
      </c>
      <c r="AG25" t="s">
        <v>115</v>
      </c>
      <c r="AH25" t="s">
        <v>102</v>
      </c>
      <c r="AI25" t="s">
        <v>112</v>
      </c>
      <c r="AJ25" t="s">
        <v>279</v>
      </c>
      <c r="AK25" t="s">
        <v>129</v>
      </c>
      <c r="AL25">
        <v>600</v>
      </c>
      <c r="AM25">
        <v>0</v>
      </c>
      <c r="AN25">
        <v>44809720</v>
      </c>
      <c r="AO25" t="s">
        <v>404</v>
      </c>
      <c r="AP25" t="s">
        <v>455</v>
      </c>
      <c r="AR25" t="s">
        <v>105</v>
      </c>
      <c r="AS25" t="s">
        <v>106</v>
      </c>
      <c r="AT25" t="s">
        <v>107</v>
      </c>
      <c r="AY25">
        <v>9870333111</v>
      </c>
      <c r="AZ25" t="s">
        <v>222</v>
      </c>
      <c r="BA25" t="s">
        <v>108</v>
      </c>
      <c r="BB25" t="s">
        <v>453</v>
      </c>
      <c r="BC25" t="s">
        <v>453</v>
      </c>
      <c r="BD25" t="s">
        <v>148</v>
      </c>
      <c r="BE25" t="s">
        <v>109</v>
      </c>
      <c r="BF25">
        <v>996425</v>
      </c>
      <c r="BG25" t="s">
        <v>198</v>
      </c>
      <c r="BH25" t="s">
        <v>280</v>
      </c>
      <c r="BI25" t="s">
        <v>270</v>
      </c>
      <c r="BJ25">
        <v>1139</v>
      </c>
      <c r="BL25">
        <v>378</v>
      </c>
      <c r="BM25">
        <v>0</v>
      </c>
      <c r="BN25">
        <v>0</v>
      </c>
      <c r="BO25">
        <v>0.18098710000000001</v>
      </c>
      <c r="BP25" t="s">
        <v>456</v>
      </c>
      <c r="BU25">
        <v>2</v>
      </c>
      <c r="BV25" t="s">
        <v>296</v>
      </c>
      <c r="CA25">
        <v>378</v>
      </c>
      <c r="CB25" t="s">
        <v>154</v>
      </c>
      <c r="CC25" t="s">
        <v>222</v>
      </c>
      <c r="CE25" t="s">
        <v>111</v>
      </c>
      <c r="CF25" t="s">
        <v>457</v>
      </c>
      <c r="CJ25" t="s">
        <v>270</v>
      </c>
      <c r="CK25" t="s">
        <v>112</v>
      </c>
    </row>
    <row r="26" spans="1:89" x14ac:dyDescent="0.3">
      <c r="A26" t="s">
        <v>458</v>
      </c>
      <c r="B26" t="s">
        <v>404</v>
      </c>
      <c r="C26" t="s">
        <v>404</v>
      </c>
      <c r="D26" t="s">
        <v>268</v>
      </c>
      <c r="E26" t="s">
        <v>93</v>
      </c>
      <c r="F26" t="s">
        <v>269</v>
      </c>
      <c r="G26" t="s">
        <v>270</v>
      </c>
      <c r="H26">
        <v>3701618</v>
      </c>
      <c r="I26" t="s">
        <v>271</v>
      </c>
      <c r="K26" t="s">
        <v>459</v>
      </c>
      <c r="L26" t="s">
        <v>297</v>
      </c>
      <c r="M26" t="s">
        <v>95</v>
      </c>
      <c r="N26" t="s">
        <v>460</v>
      </c>
      <c r="O26" t="s">
        <v>96</v>
      </c>
      <c r="P26">
        <v>5808911595</v>
      </c>
      <c r="Q26">
        <v>6480</v>
      </c>
      <c r="R26">
        <v>0</v>
      </c>
      <c r="S26">
        <v>505</v>
      </c>
      <c r="T26">
        <v>324</v>
      </c>
      <c r="U26">
        <v>7309</v>
      </c>
      <c r="V26">
        <v>0</v>
      </c>
      <c r="W26" t="s">
        <v>269</v>
      </c>
      <c r="X26" t="s">
        <v>97</v>
      </c>
      <c r="Y26" t="s">
        <v>404</v>
      </c>
      <c r="Z26" t="s">
        <v>437</v>
      </c>
      <c r="AA26" t="s">
        <v>98</v>
      </c>
      <c r="AB26" t="s">
        <v>99</v>
      </c>
      <c r="AC26" t="s">
        <v>141</v>
      </c>
      <c r="AD26" t="s">
        <v>461</v>
      </c>
      <c r="AE26">
        <v>1388000</v>
      </c>
      <c r="AF26" t="s">
        <v>278</v>
      </c>
      <c r="AG26" t="s">
        <v>115</v>
      </c>
      <c r="AH26" t="s">
        <v>102</v>
      </c>
      <c r="AI26" t="s">
        <v>112</v>
      </c>
      <c r="AJ26" t="s">
        <v>279</v>
      </c>
      <c r="AK26" t="s">
        <v>264</v>
      </c>
      <c r="AL26">
        <v>549</v>
      </c>
      <c r="AM26">
        <v>170</v>
      </c>
      <c r="AN26">
        <v>44809720</v>
      </c>
      <c r="AO26" t="s">
        <v>404</v>
      </c>
      <c r="AP26" t="s">
        <v>455</v>
      </c>
      <c r="AR26" t="s">
        <v>105</v>
      </c>
      <c r="AS26" t="s">
        <v>106</v>
      </c>
      <c r="AT26" t="s">
        <v>107</v>
      </c>
      <c r="AY26">
        <v>9870333111</v>
      </c>
      <c r="AZ26" t="s">
        <v>222</v>
      </c>
      <c r="BA26" t="s">
        <v>108</v>
      </c>
      <c r="BB26" t="s">
        <v>462</v>
      </c>
      <c r="BC26" t="s">
        <v>463</v>
      </c>
      <c r="BD26" t="s">
        <v>148</v>
      </c>
      <c r="BE26" t="s">
        <v>109</v>
      </c>
      <c r="BF26">
        <v>996425</v>
      </c>
      <c r="BG26" t="s">
        <v>198</v>
      </c>
      <c r="BH26" t="s">
        <v>280</v>
      </c>
      <c r="BI26" t="s">
        <v>270</v>
      </c>
      <c r="BJ26">
        <v>1139</v>
      </c>
      <c r="BL26">
        <v>0</v>
      </c>
      <c r="BM26">
        <v>0</v>
      </c>
      <c r="BN26">
        <v>0</v>
      </c>
      <c r="BO26">
        <v>0.18098710000000001</v>
      </c>
      <c r="BP26" t="s">
        <v>464</v>
      </c>
      <c r="BU26">
        <v>2</v>
      </c>
      <c r="BV26" t="s">
        <v>298</v>
      </c>
      <c r="CA26">
        <v>324</v>
      </c>
      <c r="CB26" t="s">
        <v>154</v>
      </c>
      <c r="CC26" t="s">
        <v>222</v>
      </c>
      <c r="CE26" t="s">
        <v>111</v>
      </c>
      <c r="CF26" t="s">
        <v>465</v>
      </c>
      <c r="CJ26" t="s">
        <v>270</v>
      </c>
      <c r="CK26" t="s">
        <v>112</v>
      </c>
    </row>
    <row r="27" spans="1:89" x14ac:dyDescent="0.3">
      <c r="A27" t="s">
        <v>468</v>
      </c>
      <c r="B27" t="s">
        <v>439</v>
      </c>
      <c r="C27" t="s">
        <v>439</v>
      </c>
      <c r="D27" t="s">
        <v>268</v>
      </c>
      <c r="E27" t="s">
        <v>93</v>
      </c>
      <c r="F27" t="s">
        <v>269</v>
      </c>
      <c r="G27" t="s">
        <v>270</v>
      </c>
      <c r="H27">
        <v>3701618</v>
      </c>
      <c r="I27" t="s">
        <v>271</v>
      </c>
      <c r="K27" t="s">
        <v>469</v>
      </c>
      <c r="L27" t="s">
        <v>295</v>
      </c>
      <c r="M27" t="s">
        <v>95</v>
      </c>
      <c r="N27" t="s">
        <v>470</v>
      </c>
      <c r="O27" t="s">
        <v>96</v>
      </c>
      <c r="P27">
        <v>5808926793</v>
      </c>
      <c r="Q27">
        <v>7620</v>
      </c>
      <c r="R27">
        <v>0</v>
      </c>
      <c r="S27">
        <v>477</v>
      </c>
      <c r="T27">
        <v>381</v>
      </c>
      <c r="U27">
        <v>8478</v>
      </c>
      <c r="V27">
        <v>0</v>
      </c>
      <c r="W27" t="s">
        <v>269</v>
      </c>
      <c r="X27" t="s">
        <v>97</v>
      </c>
      <c r="Y27" t="s">
        <v>439</v>
      </c>
      <c r="Z27" t="s">
        <v>471</v>
      </c>
      <c r="AA27" t="s">
        <v>98</v>
      </c>
      <c r="AB27" t="s">
        <v>99</v>
      </c>
      <c r="AC27" t="s">
        <v>141</v>
      </c>
      <c r="AD27" t="s">
        <v>472</v>
      </c>
      <c r="AE27">
        <v>1388000</v>
      </c>
      <c r="AF27" t="s">
        <v>278</v>
      </c>
      <c r="AG27" t="s">
        <v>101</v>
      </c>
      <c r="AH27" t="s">
        <v>102</v>
      </c>
      <c r="AI27" t="s">
        <v>112</v>
      </c>
      <c r="AJ27" t="s">
        <v>279</v>
      </c>
      <c r="AK27" t="s">
        <v>348</v>
      </c>
      <c r="AL27">
        <v>549</v>
      </c>
      <c r="AM27">
        <v>170</v>
      </c>
      <c r="AN27">
        <v>44824925</v>
      </c>
      <c r="AO27" t="s">
        <v>439</v>
      </c>
      <c r="AP27" t="s">
        <v>473</v>
      </c>
      <c r="AR27" t="s">
        <v>105</v>
      </c>
      <c r="AS27" t="s">
        <v>106</v>
      </c>
      <c r="AT27" t="s">
        <v>107</v>
      </c>
      <c r="AY27">
        <v>9870333111</v>
      </c>
      <c r="AZ27" t="s">
        <v>222</v>
      </c>
      <c r="BA27" t="s">
        <v>108</v>
      </c>
      <c r="BB27" t="s">
        <v>474</v>
      </c>
      <c r="BC27" t="s">
        <v>475</v>
      </c>
      <c r="BD27" t="s">
        <v>148</v>
      </c>
      <c r="BE27" t="s">
        <v>109</v>
      </c>
      <c r="BF27">
        <v>996425</v>
      </c>
      <c r="BG27" t="s">
        <v>198</v>
      </c>
      <c r="BH27" t="s">
        <v>280</v>
      </c>
      <c r="BI27" t="s">
        <v>270</v>
      </c>
      <c r="BJ27">
        <v>1139</v>
      </c>
      <c r="BL27">
        <v>0</v>
      </c>
      <c r="BM27">
        <v>0</v>
      </c>
      <c r="BN27">
        <v>0</v>
      </c>
      <c r="BO27">
        <v>0.18098710000000001</v>
      </c>
      <c r="BP27" t="s">
        <v>309</v>
      </c>
      <c r="BU27">
        <v>1</v>
      </c>
      <c r="BV27" t="s">
        <v>296</v>
      </c>
      <c r="CA27">
        <v>381</v>
      </c>
      <c r="CB27" t="s">
        <v>154</v>
      </c>
      <c r="CC27" t="s">
        <v>222</v>
      </c>
      <c r="CE27" t="s">
        <v>111</v>
      </c>
      <c r="CF27" t="s">
        <v>476</v>
      </c>
      <c r="CJ27" t="s">
        <v>270</v>
      </c>
      <c r="CK27" t="s">
        <v>112</v>
      </c>
    </row>
    <row r="28" spans="1:89" x14ac:dyDescent="0.3">
      <c r="A28" t="s">
        <v>479</v>
      </c>
      <c r="B28" t="s">
        <v>439</v>
      </c>
      <c r="C28" t="s">
        <v>439</v>
      </c>
      <c r="D28" t="s">
        <v>268</v>
      </c>
      <c r="E28" t="s">
        <v>93</v>
      </c>
      <c r="F28" t="s">
        <v>269</v>
      </c>
      <c r="G28" t="s">
        <v>270</v>
      </c>
      <c r="H28">
        <v>3701618</v>
      </c>
      <c r="I28" t="s">
        <v>271</v>
      </c>
      <c r="K28" t="s">
        <v>480</v>
      </c>
      <c r="L28" t="s">
        <v>481</v>
      </c>
      <c r="M28" t="s">
        <v>122</v>
      </c>
      <c r="N28" t="s">
        <v>482</v>
      </c>
      <c r="O28" t="s">
        <v>96</v>
      </c>
      <c r="P28" t="s">
        <v>483</v>
      </c>
      <c r="Q28">
        <v>8620</v>
      </c>
      <c r="R28">
        <v>0</v>
      </c>
      <c r="S28">
        <v>1030</v>
      </c>
      <c r="T28">
        <v>431</v>
      </c>
      <c r="U28">
        <v>10081</v>
      </c>
      <c r="V28">
        <v>0</v>
      </c>
      <c r="W28" t="s">
        <v>269</v>
      </c>
      <c r="X28" t="s">
        <v>97</v>
      </c>
      <c r="Y28" t="s">
        <v>439</v>
      </c>
      <c r="Z28" t="s">
        <v>276</v>
      </c>
      <c r="AA28" t="s">
        <v>98</v>
      </c>
      <c r="AB28" t="s">
        <v>99</v>
      </c>
      <c r="AC28" t="s">
        <v>141</v>
      </c>
      <c r="AD28" t="s">
        <v>484</v>
      </c>
      <c r="AE28">
        <v>1388000</v>
      </c>
      <c r="AF28" t="s">
        <v>278</v>
      </c>
      <c r="AG28" t="s">
        <v>115</v>
      </c>
      <c r="AH28" t="s">
        <v>102</v>
      </c>
      <c r="AI28" t="s">
        <v>112</v>
      </c>
      <c r="AJ28" t="s">
        <v>279</v>
      </c>
      <c r="AK28" t="s">
        <v>261</v>
      </c>
      <c r="AL28">
        <v>275</v>
      </c>
      <c r="AM28">
        <v>0</v>
      </c>
      <c r="AN28">
        <v>44828403</v>
      </c>
      <c r="AO28" t="s">
        <v>439</v>
      </c>
      <c r="AP28" t="s">
        <v>485</v>
      </c>
      <c r="AR28" t="s">
        <v>105</v>
      </c>
      <c r="AS28" t="s">
        <v>106</v>
      </c>
      <c r="AT28" t="s">
        <v>107</v>
      </c>
      <c r="AY28">
        <v>9870333111</v>
      </c>
      <c r="AZ28" t="s">
        <v>222</v>
      </c>
      <c r="BA28" t="s">
        <v>108</v>
      </c>
      <c r="BB28" t="s">
        <v>483</v>
      </c>
      <c r="BC28" t="s">
        <v>483</v>
      </c>
      <c r="BD28" t="s">
        <v>148</v>
      </c>
      <c r="BE28" t="s">
        <v>109</v>
      </c>
      <c r="BF28">
        <v>996425</v>
      </c>
      <c r="BG28" t="s">
        <v>126</v>
      </c>
      <c r="BH28" t="s">
        <v>280</v>
      </c>
      <c r="BI28" t="s">
        <v>270</v>
      </c>
      <c r="BJ28">
        <v>442</v>
      </c>
      <c r="BL28">
        <v>431</v>
      </c>
      <c r="BM28">
        <v>0</v>
      </c>
      <c r="BN28">
        <v>0</v>
      </c>
      <c r="BO28">
        <v>7.0233799999999999E-2</v>
      </c>
      <c r="BP28" t="s">
        <v>486</v>
      </c>
      <c r="BU28">
        <v>8</v>
      </c>
      <c r="BV28" t="s">
        <v>487</v>
      </c>
      <c r="CA28">
        <v>431</v>
      </c>
      <c r="CB28" t="s">
        <v>154</v>
      </c>
      <c r="CC28" t="s">
        <v>222</v>
      </c>
      <c r="CE28" t="s">
        <v>111</v>
      </c>
      <c r="CF28" t="s">
        <v>488</v>
      </c>
      <c r="CJ28" t="s">
        <v>270</v>
      </c>
      <c r="CK28" t="s">
        <v>112</v>
      </c>
    </row>
    <row r="29" spans="1:89" x14ac:dyDescent="0.3">
      <c r="A29" t="s">
        <v>489</v>
      </c>
      <c r="B29" t="s">
        <v>439</v>
      </c>
      <c r="C29" t="s">
        <v>439</v>
      </c>
      <c r="D29" t="s">
        <v>268</v>
      </c>
      <c r="E29" t="s">
        <v>93</v>
      </c>
      <c r="F29" t="s">
        <v>269</v>
      </c>
      <c r="G29" t="s">
        <v>270</v>
      </c>
      <c r="H29">
        <v>3701618</v>
      </c>
      <c r="I29" t="s">
        <v>271</v>
      </c>
      <c r="K29" t="s">
        <v>490</v>
      </c>
      <c r="L29" t="s">
        <v>491</v>
      </c>
      <c r="M29" t="s">
        <v>95</v>
      </c>
      <c r="N29" t="s">
        <v>492</v>
      </c>
      <c r="O29" t="s">
        <v>96</v>
      </c>
      <c r="P29">
        <v>5808929510</v>
      </c>
      <c r="Q29">
        <v>6940</v>
      </c>
      <c r="R29">
        <v>0</v>
      </c>
      <c r="S29">
        <v>424</v>
      </c>
      <c r="T29">
        <v>347</v>
      </c>
      <c r="U29">
        <v>7711</v>
      </c>
      <c r="V29">
        <v>0</v>
      </c>
      <c r="W29" t="s">
        <v>269</v>
      </c>
      <c r="X29" t="s">
        <v>97</v>
      </c>
      <c r="Y29" t="s">
        <v>439</v>
      </c>
      <c r="Z29" t="s">
        <v>276</v>
      </c>
      <c r="AA29" t="s">
        <v>98</v>
      </c>
      <c r="AB29" t="s">
        <v>99</v>
      </c>
      <c r="AC29" t="s">
        <v>141</v>
      </c>
      <c r="AD29" t="s">
        <v>493</v>
      </c>
      <c r="AE29">
        <v>1388000</v>
      </c>
      <c r="AF29" t="s">
        <v>278</v>
      </c>
      <c r="AG29" t="s">
        <v>115</v>
      </c>
      <c r="AH29" t="s">
        <v>102</v>
      </c>
      <c r="AI29" t="s">
        <v>112</v>
      </c>
      <c r="AJ29" t="s">
        <v>279</v>
      </c>
      <c r="AK29" t="s">
        <v>201</v>
      </c>
      <c r="AL29">
        <v>299</v>
      </c>
      <c r="AM29">
        <v>170</v>
      </c>
      <c r="AN29">
        <v>44828403</v>
      </c>
      <c r="AO29" t="s">
        <v>439</v>
      </c>
      <c r="AP29" t="s">
        <v>485</v>
      </c>
      <c r="AR29" t="s">
        <v>105</v>
      </c>
      <c r="AS29" t="s">
        <v>106</v>
      </c>
      <c r="AT29" t="s">
        <v>107</v>
      </c>
      <c r="AY29">
        <v>9870333111</v>
      </c>
      <c r="AZ29" t="s">
        <v>222</v>
      </c>
      <c r="BA29" t="s">
        <v>108</v>
      </c>
      <c r="BB29" t="s">
        <v>494</v>
      </c>
      <c r="BC29" t="s">
        <v>495</v>
      </c>
      <c r="BD29" t="s">
        <v>148</v>
      </c>
      <c r="BE29" t="s">
        <v>109</v>
      </c>
      <c r="BF29">
        <v>996425</v>
      </c>
      <c r="BG29" t="s">
        <v>126</v>
      </c>
      <c r="BH29" t="s">
        <v>280</v>
      </c>
      <c r="BI29" t="s">
        <v>270</v>
      </c>
      <c r="BJ29">
        <v>442</v>
      </c>
      <c r="BL29">
        <v>0</v>
      </c>
      <c r="BM29">
        <v>0</v>
      </c>
      <c r="BN29">
        <v>0</v>
      </c>
      <c r="BO29">
        <v>7.0233799999999999E-2</v>
      </c>
      <c r="BP29" t="s">
        <v>496</v>
      </c>
      <c r="BU29">
        <v>8</v>
      </c>
      <c r="BV29" t="s">
        <v>497</v>
      </c>
      <c r="CA29">
        <v>347</v>
      </c>
      <c r="CB29" t="s">
        <v>154</v>
      </c>
      <c r="CC29" t="s">
        <v>222</v>
      </c>
      <c r="CE29" t="s">
        <v>111</v>
      </c>
      <c r="CF29" t="s">
        <v>498</v>
      </c>
      <c r="CJ29" t="s">
        <v>270</v>
      </c>
      <c r="CK29" t="s">
        <v>112</v>
      </c>
    </row>
    <row r="30" spans="1:89" x14ac:dyDescent="0.3">
      <c r="A30" t="s">
        <v>499</v>
      </c>
      <c r="B30" t="s">
        <v>439</v>
      </c>
      <c r="C30" t="s">
        <v>439</v>
      </c>
      <c r="D30" t="s">
        <v>500</v>
      </c>
      <c r="E30" t="s">
        <v>93</v>
      </c>
      <c r="F30" t="s">
        <v>501</v>
      </c>
      <c r="G30" t="s">
        <v>502</v>
      </c>
      <c r="I30" t="s">
        <v>503</v>
      </c>
      <c r="K30" t="s">
        <v>301</v>
      </c>
      <c r="L30" t="s">
        <v>504</v>
      </c>
      <c r="M30" t="s">
        <v>306</v>
      </c>
      <c r="N30" t="s">
        <v>505</v>
      </c>
      <c r="O30" t="s">
        <v>96</v>
      </c>
      <c r="P30" t="s">
        <v>506</v>
      </c>
      <c r="Q30">
        <v>6160</v>
      </c>
      <c r="R30">
        <v>0</v>
      </c>
      <c r="S30">
        <v>991</v>
      </c>
      <c r="T30">
        <v>308</v>
      </c>
      <c r="U30">
        <v>7459</v>
      </c>
      <c r="V30">
        <v>75</v>
      </c>
      <c r="W30" t="s">
        <v>507</v>
      </c>
      <c r="X30" t="s">
        <v>97</v>
      </c>
      <c r="Y30" t="s">
        <v>439</v>
      </c>
      <c r="Z30" t="s">
        <v>232</v>
      </c>
      <c r="AB30" t="s">
        <v>99</v>
      </c>
      <c r="AC30" t="s">
        <v>141</v>
      </c>
      <c r="AD30" t="s">
        <v>508</v>
      </c>
      <c r="AE30">
        <v>3906980</v>
      </c>
      <c r="AF30" t="s">
        <v>100</v>
      </c>
      <c r="AG30" t="s">
        <v>115</v>
      </c>
      <c r="AH30" t="s">
        <v>102</v>
      </c>
      <c r="AI30" t="s">
        <v>103</v>
      </c>
      <c r="AJ30" t="s">
        <v>509</v>
      </c>
      <c r="AK30" t="s">
        <v>466</v>
      </c>
      <c r="AL30">
        <v>0</v>
      </c>
      <c r="AM30">
        <v>0</v>
      </c>
      <c r="AN30">
        <v>44829110</v>
      </c>
      <c r="AO30" t="s">
        <v>439</v>
      </c>
      <c r="AP30" t="s">
        <v>510</v>
      </c>
      <c r="AR30" t="s">
        <v>105</v>
      </c>
      <c r="AS30" t="s">
        <v>106</v>
      </c>
      <c r="AT30" t="s">
        <v>107</v>
      </c>
      <c r="AY30">
        <v>9930515039</v>
      </c>
      <c r="AZ30" t="s">
        <v>222</v>
      </c>
      <c r="BA30" t="s">
        <v>108</v>
      </c>
      <c r="BB30" t="s">
        <v>506</v>
      </c>
      <c r="BC30" t="s">
        <v>506</v>
      </c>
      <c r="BD30" t="s">
        <v>148</v>
      </c>
      <c r="BE30" t="s">
        <v>109</v>
      </c>
      <c r="BF30">
        <v>996425</v>
      </c>
      <c r="BG30" t="s">
        <v>265</v>
      </c>
      <c r="BH30" t="s">
        <v>150</v>
      </c>
      <c r="BI30" t="s">
        <v>151</v>
      </c>
      <c r="BJ30">
        <v>835</v>
      </c>
      <c r="BL30">
        <v>0</v>
      </c>
      <c r="BM30">
        <v>154</v>
      </c>
      <c r="BN30">
        <v>154</v>
      </c>
      <c r="BO30">
        <v>0.13268150000000001</v>
      </c>
      <c r="BP30" t="s">
        <v>511</v>
      </c>
      <c r="BU30">
        <v>14</v>
      </c>
      <c r="BV30" t="s">
        <v>512</v>
      </c>
      <c r="CA30">
        <v>308</v>
      </c>
      <c r="CB30" t="s">
        <v>154</v>
      </c>
      <c r="CC30" t="s">
        <v>222</v>
      </c>
      <c r="CE30" t="s">
        <v>118</v>
      </c>
      <c r="CF30" t="s">
        <v>513</v>
      </c>
      <c r="CJ30" t="s">
        <v>514</v>
      </c>
      <c r="CK30" t="s">
        <v>196</v>
      </c>
    </row>
    <row r="31" spans="1:89" x14ac:dyDescent="0.3">
      <c r="A31" t="s">
        <v>515</v>
      </c>
      <c r="B31" t="s">
        <v>439</v>
      </c>
      <c r="C31" t="s">
        <v>439</v>
      </c>
      <c r="D31" t="s">
        <v>500</v>
      </c>
      <c r="E31" t="s">
        <v>93</v>
      </c>
      <c r="F31" t="s">
        <v>501</v>
      </c>
      <c r="G31" t="s">
        <v>502</v>
      </c>
      <c r="I31" t="s">
        <v>503</v>
      </c>
      <c r="K31" t="s">
        <v>516</v>
      </c>
      <c r="L31" t="s">
        <v>517</v>
      </c>
      <c r="M31" t="s">
        <v>122</v>
      </c>
      <c r="N31" t="s">
        <v>518</v>
      </c>
      <c r="O31" t="s">
        <v>96</v>
      </c>
      <c r="P31" t="s">
        <v>519</v>
      </c>
      <c r="Q31">
        <v>7520</v>
      </c>
      <c r="R31">
        <v>0</v>
      </c>
      <c r="S31">
        <v>437</v>
      </c>
      <c r="T31">
        <v>376</v>
      </c>
      <c r="U31">
        <v>8333</v>
      </c>
      <c r="V31">
        <v>75</v>
      </c>
      <c r="W31" t="s">
        <v>507</v>
      </c>
      <c r="X31" t="s">
        <v>97</v>
      </c>
      <c r="Y31" t="s">
        <v>439</v>
      </c>
      <c r="Z31" t="s">
        <v>232</v>
      </c>
      <c r="AA31" t="s">
        <v>98</v>
      </c>
      <c r="AB31" t="s">
        <v>99</v>
      </c>
      <c r="AC31" t="s">
        <v>141</v>
      </c>
      <c r="AD31" t="s">
        <v>520</v>
      </c>
      <c r="AE31">
        <v>3906980</v>
      </c>
      <c r="AF31" t="s">
        <v>100</v>
      </c>
      <c r="AG31" t="s">
        <v>115</v>
      </c>
      <c r="AH31" t="s">
        <v>102</v>
      </c>
      <c r="AI31" t="s">
        <v>103</v>
      </c>
      <c r="AJ31" t="s">
        <v>509</v>
      </c>
      <c r="AK31" t="s">
        <v>127</v>
      </c>
      <c r="AL31">
        <v>400</v>
      </c>
      <c r="AM31">
        <v>0</v>
      </c>
      <c r="AN31">
        <v>44829110</v>
      </c>
      <c r="AO31" t="s">
        <v>439</v>
      </c>
      <c r="AP31" t="s">
        <v>510</v>
      </c>
      <c r="AR31" t="s">
        <v>105</v>
      </c>
      <c r="AS31" t="s">
        <v>106</v>
      </c>
      <c r="AT31" t="s">
        <v>107</v>
      </c>
      <c r="AY31">
        <v>9930515039</v>
      </c>
      <c r="AZ31" t="s">
        <v>222</v>
      </c>
      <c r="BA31" t="s">
        <v>108</v>
      </c>
      <c r="BB31" t="s">
        <v>519</v>
      </c>
      <c r="BC31" t="s">
        <v>519</v>
      </c>
      <c r="BD31" t="s">
        <v>148</v>
      </c>
      <c r="BE31" t="s">
        <v>109</v>
      </c>
      <c r="BF31">
        <v>996425</v>
      </c>
      <c r="BG31" t="s">
        <v>438</v>
      </c>
      <c r="BH31" t="s">
        <v>150</v>
      </c>
      <c r="BI31" t="s">
        <v>151</v>
      </c>
      <c r="BJ31">
        <v>835</v>
      </c>
      <c r="BL31">
        <v>376</v>
      </c>
      <c r="BM31">
        <v>0</v>
      </c>
      <c r="BN31">
        <v>0</v>
      </c>
      <c r="BO31">
        <v>0.13268150000000001</v>
      </c>
      <c r="BP31" t="s">
        <v>521</v>
      </c>
      <c r="BU31">
        <v>11</v>
      </c>
      <c r="BV31" t="s">
        <v>522</v>
      </c>
      <c r="CA31">
        <v>376</v>
      </c>
      <c r="CB31" t="s">
        <v>154</v>
      </c>
      <c r="CC31" t="s">
        <v>222</v>
      </c>
      <c r="CE31" t="s">
        <v>118</v>
      </c>
      <c r="CF31" t="s">
        <v>523</v>
      </c>
      <c r="CJ31" t="s">
        <v>514</v>
      </c>
      <c r="CK31" t="s">
        <v>196</v>
      </c>
    </row>
    <row r="32" spans="1:89" x14ac:dyDescent="0.3">
      <c r="A32" t="s">
        <v>530</v>
      </c>
      <c r="B32" t="s">
        <v>439</v>
      </c>
      <c r="C32" t="s">
        <v>439</v>
      </c>
      <c r="D32" t="s">
        <v>121</v>
      </c>
      <c r="E32" t="s">
        <v>93</v>
      </c>
      <c r="F32" t="s">
        <v>193</v>
      </c>
      <c r="G32" t="s">
        <v>531</v>
      </c>
      <c r="H32">
        <v>3701618</v>
      </c>
      <c r="I32" t="s">
        <v>532</v>
      </c>
      <c r="K32" t="s">
        <v>533</v>
      </c>
      <c r="L32" t="s">
        <v>525</v>
      </c>
      <c r="M32" t="s">
        <v>122</v>
      </c>
      <c r="N32" t="s">
        <v>526</v>
      </c>
      <c r="O32" t="s">
        <v>96</v>
      </c>
      <c r="P32" t="s">
        <v>534</v>
      </c>
      <c r="Q32">
        <v>6660</v>
      </c>
      <c r="R32">
        <v>0</v>
      </c>
      <c r="S32">
        <v>1120</v>
      </c>
      <c r="T32">
        <v>333</v>
      </c>
      <c r="U32">
        <v>8113</v>
      </c>
      <c r="V32">
        <v>75</v>
      </c>
      <c r="W32" t="s">
        <v>535</v>
      </c>
      <c r="X32" t="s">
        <v>97</v>
      </c>
      <c r="Y32" t="s">
        <v>439</v>
      </c>
      <c r="Z32" t="s">
        <v>536</v>
      </c>
      <c r="AA32" t="s">
        <v>98</v>
      </c>
      <c r="AB32" t="s">
        <v>99</v>
      </c>
      <c r="AC32" t="s">
        <v>308</v>
      </c>
      <c r="AD32" t="s">
        <v>537</v>
      </c>
      <c r="AE32">
        <v>1388459</v>
      </c>
      <c r="AF32" t="s">
        <v>538</v>
      </c>
      <c r="AG32" t="s">
        <v>115</v>
      </c>
      <c r="AH32" t="s">
        <v>102</v>
      </c>
      <c r="AI32" t="s">
        <v>190</v>
      </c>
      <c r="AJ32" t="s">
        <v>539</v>
      </c>
      <c r="AK32" t="s">
        <v>187</v>
      </c>
      <c r="AL32">
        <v>400</v>
      </c>
      <c r="AM32">
        <v>0</v>
      </c>
      <c r="AN32">
        <v>44833854</v>
      </c>
      <c r="AO32" t="s">
        <v>439</v>
      </c>
      <c r="AP32" t="s">
        <v>540</v>
      </c>
      <c r="AR32" t="s">
        <v>105</v>
      </c>
      <c r="AS32" t="s">
        <v>106</v>
      </c>
      <c r="AT32" t="s">
        <v>107</v>
      </c>
      <c r="AY32">
        <v>8826526715</v>
      </c>
      <c r="AZ32" t="s">
        <v>222</v>
      </c>
      <c r="BA32" t="s">
        <v>108</v>
      </c>
      <c r="BB32" t="s">
        <v>534</v>
      </c>
      <c r="BC32" t="s">
        <v>534</v>
      </c>
      <c r="BD32" t="s">
        <v>148</v>
      </c>
      <c r="BE32" t="s">
        <v>109</v>
      </c>
      <c r="BF32">
        <v>996425</v>
      </c>
      <c r="BG32" t="s">
        <v>203</v>
      </c>
      <c r="BH32" t="s">
        <v>541</v>
      </c>
      <c r="BI32" t="s">
        <v>531</v>
      </c>
      <c r="BJ32">
        <v>983</v>
      </c>
      <c r="BL32">
        <v>333</v>
      </c>
      <c r="BM32">
        <v>0</v>
      </c>
      <c r="BN32">
        <v>0</v>
      </c>
      <c r="BO32">
        <v>0.1561987</v>
      </c>
      <c r="BP32" t="s">
        <v>542</v>
      </c>
      <c r="BU32">
        <v>7</v>
      </c>
      <c r="BV32" t="s">
        <v>527</v>
      </c>
      <c r="CA32">
        <v>333</v>
      </c>
      <c r="CB32" t="s">
        <v>154</v>
      </c>
      <c r="CC32" t="s">
        <v>222</v>
      </c>
      <c r="CE32" t="s">
        <v>111</v>
      </c>
      <c r="CF32" t="s">
        <v>543</v>
      </c>
      <c r="CJ32" t="s">
        <v>544</v>
      </c>
      <c r="CK32" t="s">
        <v>112</v>
      </c>
    </row>
    <row r="33" spans="1:89" x14ac:dyDescent="0.3">
      <c r="A33" t="s">
        <v>545</v>
      </c>
      <c r="B33" t="s">
        <v>439</v>
      </c>
      <c r="C33" t="s">
        <v>439</v>
      </c>
      <c r="D33" t="s">
        <v>121</v>
      </c>
      <c r="E33" t="s">
        <v>93</v>
      </c>
      <c r="F33" t="s">
        <v>193</v>
      </c>
      <c r="G33" t="s">
        <v>531</v>
      </c>
      <c r="H33">
        <v>3701618</v>
      </c>
      <c r="I33" t="s">
        <v>532</v>
      </c>
      <c r="K33" t="s">
        <v>546</v>
      </c>
      <c r="L33" t="s">
        <v>94</v>
      </c>
      <c r="M33" t="s">
        <v>122</v>
      </c>
      <c r="N33" t="s">
        <v>547</v>
      </c>
      <c r="O33" t="s">
        <v>96</v>
      </c>
      <c r="P33" t="s">
        <v>548</v>
      </c>
      <c r="Q33">
        <v>7280</v>
      </c>
      <c r="R33">
        <v>0</v>
      </c>
      <c r="S33">
        <v>392</v>
      </c>
      <c r="T33">
        <v>364</v>
      </c>
      <c r="U33">
        <v>8036</v>
      </c>
      <c r="V33">
        <v>75</v>
      </c>
      <c r="W33" t="s">
        <v>535</v>
      </c>
      <c r="X33" t="s">
        <v>97</v>
      </c>
      <c r="Y33" t="s">
        <v>439</v>
      </c>
      <c r="Z33" t="s">
        <v>536</v>
      </c>
      <c r="AA33" t="s">
        <v>98</v>
      </c>
      <c r="AB33" t="s">
        <v>99</v>
      </c>
      <c r="AC33" t="s">
        <v>308</v>
      </c>
      <c r="AD33" t="s">
        <v>549</v>
      </c>
      <c r="AE33">
        <v>1388459</v>
      </c>
      <c r="AF33" t="s">
        <v>538</v>
      </c>
      <c r="AG33" t="s">
        <v>115</v>
      </c>
      <c r="AH33" t="s">
        <v>102</v>
      </c>
      <c r="AI33" t="s">
        <v>190</v>
      </c>
      <c r="AJ33" t="s">
        <v>539</v>
      </c>
      <c r="AK33" t="s">
        <v>127</v>
      </c>
      <c r="AL33">
        <v>400</v>
      </c>
      <c r="AM33">
        <v>0</v>
      </c>
      <c r="AN33">
        <v>44833854</v>
      </c>
      <c r="AO33" t="s">
        <v>439</v>
      </c>
      <c r="AP33" t="s">
        <v>540</v>
      </c>
      <c r="AR33" t="s">
        <v>105</v>
      </c>
      <c r="AS33" t="s">
        <v>106</v>
      </c>
      <c r="AT33" t="s">
        <v>107</v>
      </c>
      <c r="AY33">
        <v>8826526715</v>
      </c>
      <c r="AZ33" t="s">
        <v>222</v>
      </c>
      <c r="BA33" t="s">
        <v>108</v>
      </c>
      <c r="BB33" t="s">
        <v>548</v>
      </c>
      <c r="BC33" t="s">
        <v>548</v>
      </c>
      <c r="BD33" t="s">
        <v>148</v>
      </c>
      <c r="BE33" t="s">
        <v>109</v>
      </c>
      <c r="BF33">
        <v>996425</v>
      </c>
      <c r="BG33" t="s">
        <v>206</v>
      </c>
      <c r="BH33" t="s">
        <v>541</v>
      </c>
      <c r="BI33" t="s">
        <v>531</v>
      </c>
      <c r="BJ33">
        <v>983</v>
      </c>
      <c r="BL33">
        <v>364</v>
      </c>
      <c r="BM33">
        <v>0</v>
      </c>
      <c r="BN33">
        <v>0</v>
      </c>
      <c r="BO33">
        <v>0.1561987</v>
      </c>
      <c r="BP33" t="s">
        <v>550</v>
      </c>
      <c r="BU33">
        <v>3</v>
      </c>
      <c r="BV33" t="s">
        <v>110</v>
      </c>
      <c r="CA33">
        <v>364</v>
      </c>
      <c r="CB33" t="s">
        <v>154</v>
      </c>
      <c r="CC33" t="s">
        <v>222</v>
      </c>
      <c r="CE33" t="s">
        <v>111</v>
      </c>
      <c r="CF33" t="s">
        <v>551</v>
      </c>
      <c r="CJ33" t="s">
        <v>544</v>
      </c>
      <c r="CK33" t="s">
        <v>112</v>
      </c>
    </row>
    <row r="34" spans="1:89" x14ac:dyDescent="0.3">
      <c r="A34" t="s">
        <v>556</v>
      </c>
      <c r="B34" t="s">
        <v>557</v>
      </c>
      <c r="C34" t="s">
        <v>557</v>
      </c>
      <c r="D34" t="s">
        <v>121</v>
      </c>
      <c r="E34" t="s">
        <v>93</v>
      </c>
      <c r="F34" t="s">
        <v>558</v>
      </c>
      <c r="G34" t="s">
        <v>559</v>
      </c>
      <c r="H34">
        <v>3701618</v>
      </c>
      <c r="I34" t="s">
        <v>560</v>
      </c>
      <c r="K34" t="s">
        <v>561</v>
      </c>
      <c r="L34" t="s">
        <v>562</v>
      </c>
      <c r="M34" t="s">
        <v>122</v>
      </c>
      <c r="N34" t="s">
        <v>563</v>
      </c>
      <c r="O34" t="s">
        <v>96</v>
      </c>
      <c r="P34" t="s">
        <v>564</v>
      </c>
      <c r="Q34">
        <v>6000</v>
      </c>
      <c r="R34">
        <v>0</v>
      </c>
      <c r="S34">
        <v>443</v>
      </c>
      <c r="T34">
        <v>300</v>
      </c>
      <c r="U34">
        <v>6743</v>
      </c>
      <c r="V34">
        <v>75</v>
      </c>
      <c r="W34" t="s">
        <v>317</v>
      </c>
      <c r="X34" t="s">
        <v>97</v>
      </c>
      <c r="Y34" t="s">
        <v>557</v>
      </c>
      <c r="Z34" t="s">
        <v>565</v>
      </c>
      <c r="AA34" t="s">
        <v>98</v>
      </c>
      <c r="AB34" t="s">
        <v>99</v>
      </c>
      <c r="AC34" t="s">
        <v>141</v>
      </c>
      <c r="AD34" t="s">
        <v>566</v>
      </c>
      <c r="AE34">
        <v>1388479</v>
      </c>
      <c r="AF34" t="s">
        <v>567</v>
      </c>
      <c r="AG34" t="s">
        <v>115</v>
      </c>
      <c r="AH34" t="s">
        <v>102</v>
      </c>
      <c r="AI34" t="s">
        <v>196</v>
      </c>
      <c r="AJ34" t="s">
        <v>568</v>
      </c>
      <c r="AK34" t="s">
        <v>129</v>
      </c>
      <c r="AL34">
        <v>400</v>
      </c>
      <c r="AM34">
        <v>0</v>
      </c>
      <c r="AN34">
        <v>44856343</v>
      </c>
      <c r="AO34" t="s">
        <v>436</v>
      </c>
      <c r="AP34" t="s">
        <v>569</v>
      </c>
      <c r="AR34" t="s">
        <v>105</v>
      </c>
      <c r="AS34" t="s">
        <v>106</v>
      </c>
      <c r="AT34" t="s">
        <v>107</v>
      </c>
      <c r="AY34">
        <v>8903128200</v>
      </c>
      <c r="AZ34" t="s">
        <v>222</v>
      </c>
      <c r="BA34" t="s">
        <v>108</v>
      </c>
      <c r="BB34" t="s">
        <v>564</v>
      </c>
      <c r="BC34" t="s">
        <v>564</v>
      </c>
      <c r="BD34" t="s">
        <v>148</v>
      </c>
      <c r="BE34" t="s">
        <v>109</v>
      </c>
      <c r="BF34">
        <v>996425</v>
      </c>
      <c r="BG34" t="s">
        <v>438</v>
      </c>
      <c r="BH34" t="s">
        <v>570</v>
      </c>
      <c r="BI34" t="s">
        <v>559</v>
      </c>
      <c r="BJ34">
        <v>972</v>
      </c>
      <c r="BL34">
        <v>300</v>
      </c>
      <c r="BM34">
        <v>0</v>
      </c>
      <c r="BN34">
        <v>0</v>
      </c>
      <c r="BO34">
        <v>0.1544508</v>
      </c>
      <c r="BP34" t="s">
        <v>571</v>
      </c>
      <c r="BU34">
        <v>10</v>
      </c>
      <c r="BV34" t="s">
        <v>572</v>
      </c>
      <c r="CA34">
        <v>300</v>
      </c>
      <c r="CB34" t="s">
        <v>154</v>
      </c>
      <c r="CC34" t="s">
        <v>222</v>
      </c>
      <c r="CE34" t="s">
        <v>118</v>
      </c>
      <c r="CF34" t="s">
        <v>573</v>
      </c>
      <c r="CJ34" t="s">
        <v>324</v>
      </c>
      <c r="CK34" t="s">
        <v>112</v>
      </c>
    </row>
    <row r="35" spans="1:89" x14ac:dyDescent="0.3">
      <c r="A35" t="s">
        <v>574</v>
      </c>
      <c r="B35" t="s">
        <v>557</v>
      </c>
      <c r="C35" t="s">
        <v>557</v>
      </c>
      <c r="D35" t="s">
        <v>121</v>
      </c>
      <c r="E35" t="s">
        <v>93</v>
      </c>
      <c r="F35" t="s">
        <v>558</v>
      </c>
      <c r="G35" t="s">
        <v>559</v>
      </c>
      <c r="H35">
        <v>3701618</v>
      </c>
      <c r="I35" t="s">
        <v>560</v>
      </c>
      <c r="K35" t="s">
        <v>575</v>
      </c>
      <c r="L35" t="s">
        <v>576</v>
      </c>
      <c r="M35" t="s">
        <v>122</v>
      </c>
      <c r="N35" t="s">
        <v>577</v>
      </c>
      <c r="O35" t="s">
        <v>96</v>
      </c>
      <c r="P35" t="s">
        <v>578</v>
      </c>
      <c r="Q35">
        <v>6780</v>
      </c>
      <c r="R35">
        <v>0</v>
      </c>
      <c r="S35">
        <v>1136</v>
      </c>
      <c r="T35">
        <v>339</v>
      </c>
      <c r="U35">
        <v>8255</v>
      </c>
      <c r="V35">
        <v>75</v>
      </c>
      <c r="W35" t="s">
        <v>317</v>
      </c>
      <c r="X35" t="s">
        <v>97</v>
      </c>
      <c r="Y35" t="s">
        <v>557</v>
      </c>
      <c r="Z35" t="s">
        <v>565</v>
      </c>
      <c r="AA35" t="s">
        <v>162</v>
      </c>
      <c r="AB35" t="s">
        <v>99</v>
      </c>
      <c r="AC35" t="s">
        <v>141</v>
      </c>
      <c r="AD35" t="s">
        <v>579</v>
      </c>
      <c r="AE35">
        <v>1388479</v>
      </c>
      <c r="AF35" t="s">
        <v>567</v>
      </c>
      <c r="AG35" t="s">
        <v>115</v>
      </c>
      <c r="AH35" t="s">
        <v>102</v>
      </c>
      <c r="AI35" t="s">
        <v>196</v>
      </c>
      <c r="AJ35" t="s">
        <v>568</v>
      </c>
      <c r="AK35" t="s">
        <v>261</v>
      </c>
      <c r="AL35">
        <v>400</v>
      </c>
      <c r="AM35">
        <v>0</v>
      </c>
      <c r="AN35">
        <v>44856343</v>
      </c>
      <c r="AO35" t="s">
        <v>436</v>
      </c>
      <c r="AP35" t="s">
        <v>569</v>
      </c>
      <c r="AR35" t="s">
        <v>105</v>
      </c>
      <c r="AS35" t="s">
        <v>106</v>
      </c>
      <c r="AT35" t="s">
        <v>107</v>
      </c>
      <c r="AY35">
        <v>8903128200</v>
      </c>
      <c r="AZ35" t="s">
        <v>222</v>
      </c>
      <c r="BA35" t="s">
        <v>108</v>
      </c>
      <c r="BB35" t="s">
        <v>578</v>
      </c>
      <c r="BC35" t="s">
        <v>578</v>
      </c>
      <c r="BD35" t="s">
        <v>148</v>
      </c>
      <c r="BE35" t="s">
        <v>109</v>
      </c>
      <c r="BF35">
        <v>996425</v>
      </c>
      <c r="BG35" t="s">
        <v>383</v>
      </c>
      <c r="BH35" t="s">
        <v>570</v>
      </c>
      <c r="BI35" t="s">
        <v>559</v>
      </c>
      <c r="BJ35">
        <v>972</v>
      </c>
      <c r="BL35">
        <v>339</v>
      </c>
      <c r="BM35">
        <v>0</v>
      </c>
      <c r="BN35">
        <v>0</v>
      </c>
      <c r="BO35">
        <v>0.1544508</v>
      </c>
      <c r="BP35" t="s">
        <v>580</v>
      </c>
      <c r="BU35">
        <v>12</v>
      </c>
      <c r="BV35" t="s">
        <v>581</v>
      </c>
      <c r="CA35">
        <v>339</v>
      </c>
      <c r="CB35" t="s">
        <v>154</v>
      </c>
      <c r="CC35" t="s">
        <v>222</v>
      </c>
      <c r="CE35" t="s">
        <v>118</v>
      </c>
      <c r="CF35" t="s">
        <v>582</v>
      </c>
      <c r="CJ35" t="s">
        <v>324</v>
      </c>
      <c r="CK35" t="s">
        <v>112</v>
      </c>
    </row>
    <row r="36" spans="1:89" x14ac:dyDescent="0.3">
      <c r="A36" t="s">
        <v>583</v>
      </c>
      <c r="B36" t="s">
        <v>557</v>
      </c>
      <c r="C36" t="s">
        <v>557</v>
      </c>
      <c r="D36" t="s">
        <v>121</v>
      </c>
      <c r="E36" t="s">
        <v>93</v>
      </c>
      <c r="F36" t="s">
        <v>584</v>
      </c>
      <c r="G36" t="s">
        <v>585</v>
      </c>
      <c r="I36" t="s">
        <v>586</v>
      </c>
      <c r="K36" t="s">
        <v>587</v>
      </c>
      <c r="L36" t="s">
        <v>448</v>
      </c>
      <c r="M36" t="s">
        <v>122</v>
      </c>
      <c r="N36" t="s">
        <v>588</v>
      </c>
      <c r="O36" t="s">
        <v>96</v>
      </c>
      <c r="P36" t="s">
        <v>589</v>
      </c>
      <c r="Q36">
        <v>7800</v>
      </c>
      <c r="R36">
        <v>0</v>
      </c>
      <c r="S36">
        <v>805</v>
      </c>
      <c r="T36">
        <v>390</v>
      </c>
      <c r="U36">
        <v>8995</v>
      </c>
      <c r="V36">
        <v>75</v>
      </c>
      <c r="W36" t="s">
        <v>361</v>
      </c>
      <c r="X36" t="s">
        <v>97</v>
      </c>
      <c r="Y36" t="s">
        <v>557</v>
      </c>
      <c r="Z36" t="s">
        <v>553</v>
      </c>
      <c r="AA36" t="s">
        <v>162</v>
      </c>
      <c r="AB36" t="s">
        <v>99</v>
      </c>
      <c r="AC36" t="s">
        <v>141</v>
      </c>
      <c r="AD36" t="s">
        <v>590</v>
      </c>
      <c r="AE36">
        <v>5246483</v>
      </c>
      <c r="AF36" t="s">
        <v>200</v>
      </c>
      <c r="AG36" t="s">
        <v>115</v>
      </c>
      <c r="AH36" t="s">
        <v>102</v>
      </c>
      <c r="AI36" t="s">
        <v>256</v>
      </c>
      <c r="AJ36" t="s">
        <v>591</v>
      </c>
      <c r="AK36" t="s">
        <v>127</v>
      </c>
      <c r="AL36">
        <v>600</v>
      </c>
      <c r="AM36">
        <v>0</v>
      </c>
      <c r="AN36">
        <v>44855536</v>
      </c>
      <c r="AO36" t="s">
        <v>436</v>
      </c>
      <c r="AP36" t="s">
        <v>592</v>
      </c>
      <c r="AR36" t="s">
        <v>105</v>
      </c>
      <c r="AS36" t="s">
        <v>106</v>
      </c>
      <c r="AT36" t="s">
        <v>107</v>
      </c>
      <c r="AY36">
        <v>9867718072</v>
      </c>
      <c r="AZ36" t="s">
        <v>222</v>
      </c>
      <c r="BA36" t="s">
        <v>108</v>
      </c>
      <c r="BB36" t="s">
        <v>589</v>
      </c>
      <c r="BC36" t="s">
        <v>589</v>
      </c>
      <c r="BD36" t="s">
        <v>148</v>
      </c>
      <c r="BE36" t="s">
        <v>109</v>
      </c>
      <c r="BF36">
        <v>996425</v>
      </c>
      <c r="BG36" t="s">
        <v>203</v>
      </c>
      <c r="BH36" t="s">
        <v>593</v>
      </c>
      <c r="BI36" t="s">
        <v>585</v>
      </c>
      <c r="BJ36">
        <v>1034</v>
      </c>
      <c r="BL36">
        <v>390</v>
      </c>
      <c r="BM36">
        <v>0</v>
      </c>
      <c r="BN36">
        <v>0</v>
      </c>
      <c r="BO36">
        <v>0.16430259999999999</v>
      </c>
      <c r="BP36" t="s">
        <v>594</v>
      </c>
      <c r="BU36">
        <v>6</v>
      </c>
      <c r="BV36" t="s">
        <v>449</v>
      </c>
      <c r="CA36">
        <v>390</v>
      </c>
      <c r="CB36" t="s">
        <v>154</v>
      </c>
      <c r="CC36" t="s">
        <v>222</v>
      </c>
      <c r="CE36" t="s">
        <v>111</v>
      </c>
      <c r="CF36" t="s">
        <v>595</v>
      </c>
      <c r="CJ36" t="s">
        <v>372</v>
      </c>
      <c r="CK36" t="s">
        <v>103</v>
      </c>
    </row>
    <row r="37" spans="1:89" x14ac:dyDescent="0.3">
      <c r="A37" t="s">
        <v>596</v>
      </c>
      <c r="B37" t="s">
        <v>557</v>
      </c>
      <c r="C37" t="s">
        <v>557</v>
      </c>
      <c r="D37" t="s">
        <v>121</v>
      </c>
      <c r="E37" t="s">
        <v>93</v>
      </c>
      <c r="F37" t="s">
        <v>584</v>
      </c>
      <c r="G37" t="s">
        <v>585</v>
      </c>
      <c r="I37" t="s">
        <v>586</v>
      </c>
      <c r="K37" t="s">
        <v>294</v>
      </c>
      <c r="L37" t="s">
        <v>597</v>
      </c>
      <c r="M37" t="s">
        <v>122</v>
      </c>
      <c r="N37" t="s">
        <v>598</v>
      </c>
      <c r="O37" t="s">
        <v>96</v>
      </c>
      <c r="P37" t="s">
        <v>599</v>
      </c>
      <c r="Q37">
        <v>8260</v>
      </c>
      <c r="R37">
        <v>0</v>
      </c>
      <c r="S37">
        <v>436</v>
      </c>
      <c r="T37">
        <v>413</v>
      </c>
      <c r="U37">
        <v>9109</v>
      </c>
      <c r="V37">
        <v>75</v>
      </c>
      <c r="W37" t="s">
        <v>361</v>
      </c>
      <c r="X37" t="s">
        <v>97</v>
      </c>
      <c r="Y37" t="s">
        <v>557</v>
      </c>
      <c r="Z37" t="s">
        <v>553</v>
      </c>
      <c r="AA37" t="s">
        <v>162</v>
      </c>
      <c r="AB37" t="s">
        <v>99</v>
      </c>
      <c r="AC37" t="s">
        <v>141</v>
      </c>
      <c r="AD37" t="s">
        <v>600</v>
      </c>
      <c r="AE37">
        <v>5246483</v>
      </c>
      <c r="AF37" t="s">
        <v>200</v>
      </c>
      <c r="AG37" t="s">
        <v>115</v>
      </c>
      <c r="AH37" t="s">
        <v>102</v>
      </c>
      <c r="AI37" t="s">
        <v>256</v>
      </c>
      <c r="AJ37" t="s">
        <v>591</v>
      </c>
      <c r="AK37" t="s">
        <v>307</v>
      </c>
      <c r="AL37">
        <v>600</v>
      </c>
      <c r="AM37">
        <v>0</v>
      </c>
      <c r="AN37">
        <v>44855536</v>
      </c>
      <c r="AO37" t="s">
        <v>436</v>
      </c>
      <c r="AP37" t="s">
        <v>592</v>
      </c>
      <c r="AR37" t="s">
        <v>105</v>
      </c>
      <c r="AS37" t="s">
        <v>106</v>
      </c>
      <c r="AT37" t="s">
        <v>107</v>
      </c>
      <c r="AY37">
        <v>9867718072</v>
      </c>
      <c r="AZ37" t="s">
        <v>222</v>
      </c>
      <c r="BA37" t="s">
        <v>108</v>
      </c>
      <c r="BB37" t="s">
        <v>599</v>
      </c>
      <c r="BC37" t="s">
        <v>599</v>
      </c>
      <c r="BD37" t="s">
        <v>148</v>
      </c>
      <c r="BE37" t="s">
        <v>109</v>
      </c>
      <c r="BF37">
        <v>996425</v>
      </c>
      <c r="BG37" t="s">
        <v>206</v>
      </c>
      <c r="BH37" t="s">
        <v>593</v>
      </c>
      <c r="BI37" t="s">
        <v>585</v>
      </c>
      <c r="BJ37">
        <v>1034</v>
      </c>
      <c r="BL37">
        <v>413</v>
      </c>
      <c r="BM37">
        <v>0</v>
      </c>
      <c r="BN37">
        <v>0</v>
      </c>
      <c r="BO37">
        <v>0.16430259999999999</v>
      </c>
      <c r="BP37" t="s">
        <v>601</v>
      </c>
      <c r="BU37">
        <v>2</v>
      </c>
      <c r="BV37" t="s">
        <v>602</v>
      </c>
      <c r="CA37">
        <v>413</v>
      </c>
      <c r="CB37" t="s">
        <v>154</v>
      </c>
      <c r="CC37" t="s">
        <v>222</v>
      </c>
      <c r="CE37" t="s">
        <v>111</v>
      </c>
      <c r="CF37" t="s">
        <v>603</v>
      </c>
      <c r="CJ37" t="s">
        <v>372</v>
      </c>
      <c r="CK37" t="s">
        <v>103</v>
      </c>
    </row>
    <row r="38" spans="1:89" x14ac:dyDescent="0.3">
      <c r="A38" t="s">
        <v>605</v>
      </c>
      <c r="B38" t="s">
        <v>606</v>
      </c>
      <c r="C38" t="s">
        <v>606</v>
      </c>
      <c r="D38" t="s">
        <v>336</v>
      </c>
      <c r="E38" t="s">
        <v>93</v>
      </c>
      <c r="F38" t="s">
        <v>607</v>
      </c>
      <c r="G38" t="s">
        <v>608</v>
      </c>
      <c r="I38" t="s">
        <v>339</v>
      </c>
      <c r="K38" t="s">
        <v>609</v>
      </c>
      <c r="L38" t="s">
        <v>250</v>
      </c>
      <c r="M38" t="s">
        <v>95</v>
      </c>
      <c r="N38" t="s">
        <v>610</v>
      </c>
      <c r="O38" t="s">
        <v>96</v>
      </c>
      <c r="P38">
        <v>5808985901</v>
      </c>
      <c r="Q38">
        <v>4080</v>
      </c>
      <c r="R38">
        <v>0</v>
      </c>
      <c r="S38">
        <v>1450</v>
      </c>
      <c r="T38">
        <v>204</v>
      </c>
      <c r="U38">
        <v>5734</v>
      </c>
      <c r="V38">
        <v>75</v>
      </c>
      <c r="W38" t="s">
        <v>269</v>
      </c>
      <c r="X38" t="s">
        <v>97</v>
      </c>
      <c r="Y38" t="s">
        <v>606</v>
      </c>
      <c r="Z38" t="s">
        <v>611</v>
      </c>
      <c r="AA38" t="s">
        <v>98</v>
      </c>
      <c r="AB38" t="s">
        <v>99</v>
      </c>
      <c r="AC38" t="s">
        <v>141</v>
      </c>
      <c r="AD38" t="s">
        <v>612</v>
      </c>
      <c r="AE38">
        <v>6900149</v>
      </c>
      <c r="AF38" t="s">
        <v>100</v>
      </c>
      <c r="AG38" t="s">
        <v>115</v>
      </c>
      <c r="AH38" t="s">
        <v>102</v>
      </c>
      <c r="AI38" t="s">
        <v>103</v>
      </c>
      <c r="AJ38" t="s">
        <v>613</v>
      </c>
      <c r="AK38" t="s">
        <v>379</v>
      </c>
      <c r="AL38">
        <v>299</v>
      </c>
      <c r="AM38">
        <v>170</v>
      </c>
      <c r="AN38">
        <v>44881914</v>
      </c>
      <c r="AO38" t="s">
        <v>606</v>
      </c>
      <c r="AP38" t="s">
        <v>614</v>
      </c>
      <c r="AR38" t="s">
        <v>105</v>
      </c>
      <c r="AS38" t="s">
        <v>106</v>
      </c>
      <c r="AT38" t="s">
        <v>107</v>
      </c>
      <c r="AY38">
        <v>9899203334</v>
      </c>
      <c r="AZ38" t="s">
        <v>222</v>
      </c>
      <c r="BA38" t="s">
        <v>108</v>
      </c>
      <c r="BB38" t="s">
        <v>615</v>
      </c>
      <c r="BC38" t="s">
        <v>616</v>
      </c>
      <c r="BD38" t="s">
        <v>148</v>
      </c>
      <c r="BE38" t="s">
        <v>109</v>
      </c>
      <c r="BF38">
        <v>996425</v>
      </c>
      <c r="BG38" t="s">
        <v>203</v>
      </c>
      <c r="BH38" t="s">
        <v>617</v>
      </c>
      <c r="BI38" t="s">
        <v>608</v>
      </c>
      <c r="BJ38">
        <v>233</v>
      </c>
      <c r="BL38">
        <v>0</v>
      </c>
      <c r="BM38">
        <v>0</v>
      </c>
      <c r="BN38">
        <v>0</v>
      </c>
      <c r="BO38">
        <v>3.70237E-2</v>
      </c>
      <c r="BP38" t="s">
        <v>618</v>
      </c>
      <c r="BU38">
        <v>4</v>
      </c>
      <c r="BV38" t="s">
        <v>252</v>
      </c>
      <c r="CA38">
        <v>204</v>
      </c>
      <c r="CB38" t="s">
        <v>154</v>
      </c>
      <c r="CC38" t="s">
        <v>222</v>
      </c>
      <c r="CE38" t="s">
        <v>118</v>
      </c>
      <c r="CF38" t="s">
        <v>619</v>
      </c>
      <c r="CJ38" t="s">
        <v>270</v>
      </c>
      <c r="CK38" t="s">
        <v>112</v>
      </c>
    </row>
    <row r="39" spans="1:89" x14ac:dyDescent="0.3">
      <c r="A39" t="s">
        <v>620</v>
      </c>
      <c r="B39" t="s">
        <v>606</v>
      </c>
      <c r="C39" t="s">
        <v>606</v>
      </c>
      <c r="D39" t="s">
        <v>336</v>
      </c>
      <c r="E39" t="s">
        <v>93</v>
      </c>
      <c r="F39" t="s">
        <v>607</v>
      </c>
      <c r="G39" t="s">
        <v>608</v>
      </c>
      <c r="I39" t="s">
        <v>339</v>
      </c>
      <c r="K39" t="s">
        <v>621</v>
      </c>
      <c r="L39" t="s">
        <v>253</v>
      </c>
      <c r="M39" t="s">
        <v>122</v>
      </c>
      <c r="N39" t="s">
        <v>622</v>
      </c>
      <c r="O39" t="s">
        <v>96</v>
      </c>
      <c r="P39" t="s">
        <v>623</v>
      </c>
      <c r="Q39">
        <v>3900</v>
      </c>
      <c r="R39">
        <v>0</v>
      </c>
      <c r="S39">
        <v>874</v>
      </c>
      <c r="T39">
        <v>195</v>
      </c>
      <c r="U39">
        <v>4969</v>
      </c>
      <c r="V39">
        <v>75</v>
      </c>
      <c r="W39" t="s">
        <v>269</v>
      </c>
      <c r="X39" t="s">
        <v>97</v>
      </c>
      <c r="Y39" t="s">
        <v>606</v>
      </c>
      <c r="Z39" t="s">
        <v>611</v>
      </c>
      <c r="AA39" t="s">
        <v>98</v>
      </c>
      <c r="AB39" t="s">
        <v>99</v>
      </c>
      <c r="AC39" t="s">
        <v>141</v>
      </c>
      <c r="AD39" t="s">
        <v>624</v>
      </c>
      <c r="AE39">
        <v>6900149</v>
      </c>
      <c r="AF39" t="s">
        <v>100</v>
      </c>
      <c r="AG39" t="s">
        <v>115</v>
      </c>
      <c r="AH39" t="s">
        <v>102</v>
      </c>
      <c r="AI39" t="s">
        <v>103</v>
      </c>
      <c r="AJ39" t="s">
        <v>613</v>
      </c>
      <c r="AK39" t="s">
        <v>104</v>
      </c>
      <c r="AL39">
        <v>275</v>
      </c>
      <c r="AM39">
        <v>0</v>
      </c>
      <c r="AN39">
        <v>44881914</v>
      </c>
      <c r="AO39" t="s">
        <v>606</v>
      </c>
      <c r="AP39" t="s">
        <v>614</v>
      </c>
      <c r="AR39" t="s">
        <v>105</v>
      </c>
      <c r="AS39" t="s">
        <v>106</v>
      </c>
      <c r="AT39" t="s">
        <v>107</v>
      </c>
      <c r="AY39">
        <v>9899203334</v>
      </c>
      <c r="AZ39" t="s">
        <v>222</v>
      </c>
      <c r="BA39" t="s">
        <v>108</v>
      </c>
      <c r="BB39" t="s">
        <v>623</v>
      </c>
      <c r="BC39" t="s">
        <v>623</v>
      </c>
      <c r="BD39" t="s">
        <v>148</v>
      </c>
      <c r="BE39" t="s">
        <v>109</v>
      </c>
      <c r="BF39">
        <v>996425</v>
      </c>
      <c r="BG39" t="s">
        <v>244</v>
      </c>
      <c r="BH39" t="s">
        <v>617</v>
      </c>
      <c r="BI39" t="s">
        <v>608</v>
      </c>
      <c r="BJ39">
        <v>233</v>
      </c>
      <c r="BL39">
        <v>195</v>
      </c>
      <c r="BM39">
        <v>0</v>
      </c>
      <c r="BN39">
        <v>0</v>
      </c>
      <c r="BO39">
        <v>3.70237E-2</v>
      </c>
      <c r="BP39" t="s">
        <v>625</v>
      </c>
      <c r="BU39">
        <v>3</v>
      </c>
      <c r="BV39" t="s">
        <v>254</v>
      </c>
      <c r="CA39">
        <v>195</v>
      </c>
      <c r="CB39" t="s">
        <v>154</v>
      </c>
      <c r="CC39" t="s">
        <v>222</v>
      </c>
      <c r="CE39" t="s">
        <v>118</v>
      </c>
      <c r="CF39" t="s">
        <v>626</v>
      </c>
      <c r="CJ39" t="s">
        <v>270</v>
      </c>
      <c r="CK39" t="s">
        <v>112</v>
      </c>
    </row>
    <row r="40" spans="1:89" x14ac:dyDescent="0.3">
      <c r="A40" t="s">
        <v>636</v>
      </c>
      <c r="B40" t="s">
        <v>634</v>
      </c>
      <c r="C40" t="s">
        <v>634</v>
      </c>
      <c r="D40" t="s">
        <v>336</v>
      </c>
      <c r="E40" t="s">
        <v>93</v>
      </c>
      <c r="F40" t="s">
        <v>637</v>
      </c>
      <c r="G40" t="s">
        <v>638</v>
      </c>
      <c r="I40" t="s">
        <v>339</v>
      </c>
      <c r="K40" t="s">
        <v>639</v>
      </c>
      <c r="L40" t="s">
        <v>640</v>
      </c>
      <c r="M40" t="s">
        <v>122</v>
      </c>
      <c r="N40" t="s">
        <v>641</v>
      </c>
      <c r="O40" t="s">
        <v>96</v>
      </c>
      <c r="P40" t="s">
        <v>642</v>
      </c>
      <c r="Q40">
        <v>12780</v>
      </c>
      <c r="R40">
        <v>0</v>
      </c>
      <c r="S40">
        <v>475</v>
      </c>
      <c r="T40">
        <v>639</v>
      </c>
      <c r="U40">
        <v>13894</v>
      </c>
      <c r="V40">
        <v>75</v>
      </c>
      <c r="W40" t="s">
        <v>269</v>
      </c>
      <c r="X40" t="s">
        <v>97</v>
      </c>
      <c r="Y40" t="s">
        <v>634</v>
      </c>
      <c r="Z40" t="s">
        <v>554</v>
      </c>
      <c r="AA40" t="s">
        <v>98</v>
      </c>
      <c r="AB40" t="s">
        <v>99</v>
      </c>
      <c r="AC40" t="s">
        <v>141</v>
      </c>
      <c r="AD40" t="s">
        <v>643</v>
      </c>
      <c r="AE40">
        <v>7442895</v>
      </c>
      <c r="AF40" t="s">
        <v>644</v>
      </c>
      <c r="AG40" t="s">
        <v>115</v>
      </c>
      <c r="AH40" t="s">
        <v>102</v>
      </c>
      <c r="AI40" t="s">
        <v>103</v>
      </c>
      <c r="AJ40" t="s">
        <v>645</v>
      </c>
      <c r="AK40" t="s">
        <v>305</v>
      </c>
      <c r="AL40">
        <v>400</v>
      </c>
      <c r="AM40">
        <v>0</v>
      </c>
      <c r="AN40">
        <v>44918655</v>
      </c>
      <c r="AO40" t="s">
        <v>634</v>
      </c>
      <c r="AP40" t="s">
        <v>646</v>
      </c>
      <c r="AR40" t="s">
        <v>105</v>
      </c>
      <c r="AS40" t="s">
        <v>106</v>
      </c>
      <c r="AT40" t="s">
        <v>107</v>
      </c>
      <c r="AY40">
        <v>9205927758</v>
      </c>
      <c r="AZ40" t="s">
        <v>222</v>
      </c>
      <c r="BA40" t="s">
        <v>108</v>
      </c>
      <c r="BB40" t="s">
        <v>642</v>
      </c>
      <c r="BC40" t="s">
        <v>642</v>
      </c>
      <c r="BD40" t="s">
        <v>148</v>
      </c>
      <c r="BE40" t="s">
        <v>109</v>
      </c>
      <c r="BF40">
        <v>996425</v>
      </c>
      <c r="BG40" t="s">
        <v>246</v>
      </c>
      <c r="BH40" t="s">
        <v>150</v>
      </c>
      <c r="BI40" t="s">
        <v>151</v>
      </c>
      <c r="BJ40">
        <v>580</v>
      </c>
      <c r="BL40">
        <v>0</v>
      </c>
      <c r="BM40">
        <v>0</v>
      </c>
      <c r="BN40">
        <v>0</v>
      </c>
      <c r="BO40">
        <v>9.2161999999999994E-2</v>
      </c>
      <c r="BP40" t="s">
        <v>647</v>
      </c>
      <c r="BU40">
        <v>4</v>
      </c>
      <c r="BV40" t="s">
        <v>648</v>
      </c>
      <c r="CA40">
        <v>639</v>
      </c>
      <c r="CB40" t="s">
        <v>154</v>
      </c>
      <c r="CC40" t="s">
        <v>222</v>
      </c>
      <c r="CE40" t="s">
        <v>111</v>
      </c>
      <c r="CF40" t="s">
        <v>649</v>
      </c>
      <c r="CJ40" t="s">
        <v>270</v>
      </c>
      <c r="CK40" t="s">
        <v>112</v>
      </c>
    </row>
    <row r="41" spans="1:89" x14ac:dyDescent="0.3">
      <c r="A41" t="s">
        <v>650</v>
      </c>
      <c r="B41" t="s">
        <v>634</v>
      </c>
      <c r="C41" t="s">
        <v>634</v>
      </c>
      <c r="D41" t="s">
        <v>336</v>
      </c>
      <c r="E41" t="s">
        <v>93</v>
      </c>
      <c r="F41" t="s">
        <v>637</v>
      </c>
      <c r="G41" t="s">
        <v>638</v>
      </c>
      <c r="I41" t="s">
        <v>339</v>
      </c>
      <c r="K41" t="s">
        <v>651</v>
      </c>
      <c r="L41" t="s">
        <v>652</v>
      </c>
      <c r="M41" t="s">
        <v>122</v>
      </c>
      <c r="N41" t="s">
        <v>653</v>
      </c>
      <c r="O41" t="s">
        <v>96</v>
      </c>
      <c r="P41" t="s">
        <v>654</v>
      </c>
      <c r="Q41">
        <v>7680</v>
      </c>
      <c r="R41">
        <v>0</v>
      </c>
      <c r="S41">
        <v>1114</v>
      </c>
      <c r="T41">
        <v>384</v>
      </c>
      <c r="U41">
        <v>9178</v>
      </c>
      <c r="V41">
        <v>75</v>
      </c>
      <c r="W41" t="s">
        <v>269</v>
      </c>
      <c r="X41" t="s">
        <v>97</v>
      </c>
      <c r="Y41" t="s">
        <v>634</v>
      </c>
      <c r="Z41" t="s">
        <v>554</v>
      </c>
      <c r="AA41" t="s">
        <v>98</v>
      </c>
      <c r="AB41" t="s">
        <v>99</v>
      </c>
      <c r="AC41" t="s">
        <v>141</v>
      </c>
      <c r="AD41" t="s">
        <v>655</v>
      </c>
      <c r="AE41">
        <v>7442895</v>
      </c>
      <c r="AF41" t="s">
        <v>644</v>
      </c>
      <c r="AG41" t="s">
        <v>115</v>
      </c>
      <c r="AH41" t="s">
        <v>102</v>
      </c>
      <c r="AI41" t="s">
        <v>103</v>
      </c>
      <c r="AJ41" t="s">
        <v>645</v>
      </c>
      <c r="AK41" t="s">
        <v>111</v>
      </c>
      <c r="AL41">
        <v>400</v>
      </c>
      <c r="AM41">
        <v>0</v>
      </c>
      <c r="AN41">
        <v>44918655</v>
      </c>
      <c r="AO41" t="s">
        <v>634</v>
      </c>
      <c r="AP41" t="s">
        <v>646</v>
      </c>
      <c r="AR41" t="s">
        <v>105</v>
      </c>
      <c r="AS41" t="s">
        <v>106</v>
      </c>
      <c r="AT41" t="s">
        <v>107</v>
      </c>
      <c r="AY41">
        <v>9205927758</v>
      </c>
      <c r="AZ41" t="s">
        <v>222</v>
      </c>
      <c r="BA41" t="s">
        <v>108</v>
      </c>
      <c r="BB41" t="s">
        <v>654</v>
      </c>
      <c r="BC41" t="s">
        <v>654</v>
      </c>
      <c r="BD41" t="s">
        <v>148</v>
      </c>
      <c r="BE41" t="s">
        <v>109</v>
      </c>
      <c r="BF41">
        <v>996425</v>
      </c>
      <c r="BG41" t="s">
        <v>126</v>
      </c>
      <c r="BH41" t="s">
        <v>150</v>
      </c>
      <c r="BI41" t="s">
        <v>151</v>
      </c>
      <c r="BJ41">
        <v>580</v>
      </c>
      <c r="BL41">
        <v>384</v>
      </c>
      <c r="BM41">
        <v>0</v>
      </c>
      <c r="BN41">
        <v>0</v>
      </c>
      <c r="BO41">
        <v>9.2161999999999994E-2</v>
      </c>
      <c r="BP41" t="s">
        <v>656</v>
      </c>
      <c r="BU41">
        <v>3</v>
      </c>
      <c r="BV41" t="s">
        <v>657</v>
      </c>
      <c r="CA41">
        <v>384</v>
      </c>
      <c r="CB41" t="s">
        <v>154</v>
      </c>
      <c r="CC41" t="s">
        <v>222</v>
      </c>
      <c r="CE41" t="s">
        <v>111</v>
      </c>
      <c r="CF41" t="s">
        <v>658</v>
      </c>
      <c r="CJ41" t="s">
        <v>270</v>
      </c>
      <c r="CK41" t="s">
        <v>112</v>
      </c>
    </row>
    <row r="42" spans="1:89" x14ac:dyDescent="0.3">
      <c r="A42" t="s">
        <v>662</v>
      </c>
      <c r="B42" t="s">
        <v>634</v>
      </c>
      <c r="C42" t="s">
        <v>634</v>
      </c>
      <c r="D42" t="s">
        <v>663</v>
      </c>
      <c r="E42" t="s">
        <v>93</v>
      </c>
      <c r="F42" t="s">
        <v>664</v>
      </c>
      <c r="G42" t="s">
        <v>665</v>
      </c>
      <c r="H42">
        <v>3701618</v>
      </c>
      <c r="I42" t="s">
        <v>503</v>
      </c>
      <c r="K42" t="s">
        <v>666</v>
      </c>
      <c r="L42" t="s">
        <v>667</v>
      </c>
      <c r="M42" t="s">
        <v>122</v>
      </c>
      <c r="N42" t="s">
        <v>668</v>
      </c>
      <c r="O42" t="s">
        <v>96</v>
      </c>
      <c r="P42" t="s">
        <v>669</v>
      </c>
      <c r="Q42">
        <v>10020</v>
      </c>
      <c r="R42">
        <v>0</v>
      </c>
      <c r="S42">
        <v>397</v>
      </c>
      <c r="T42">
        <v>501</v>
      </c>
      <c r="U42">
        <v>10918</v>
      </c>
      <c r="V42">
        <v>75</v>
      </c>
      <c r="W42" t="s">
        <v>507</v>
      </c>
      <c r="X42" t="s">
        <v>97</v>
      </c>
      <c r="Y42" t="s">
        <v>634</v>
      </c>
      <c r="Z42" t="s">
        <v>670</v>
      </c>
      <c r="AA42" t="s">
        <v>98</v>
      </c>
      <c r="AB42" t="s">
        <v>99</v>
      </c>
      <c r="AC42" t="s">
        <v>141</v>
      </c>
      <c r="AD42" t="s">
        <v>671</v>
      </c>
      <c r="AE42">
        <v>1389203</v>
      </c>
      <c r="AF42" t="s">
        <v>194</v>
      </c>
      <c r="AG42" t="s">
        <v>101</v>
      </c>
      <c r="AH42" t="s">
        <v>102</v>
      </c>
      <c r="AI42" t="s">
        <v>195</v>
      </c>
      <c r="AJ42" t="s">
        <v>672</v>
      </c>
      <c r="AK42" t="s">
        <v>239</v>
      </c>
      <c r="AL42">
        <v>600</v>
      </c>
      <c r="AM42">
        <v>0</v>
      </c>
      <c r="AN42">
        <v>44932177</v>
      </c>
      <c r="AO42" t="s">
        <v>634</v>
      </c>
      <c r="AP42" t="s">
        <v>660</v>
      </c>
      <c r="AR42" t="s">
        <v>105</v>
      </c>
      <c r="AS42" t="s">
        <v>106</v>
      </c>
      <c r="AT42" t="s">
        <v>107</v>
      </c>
      <c r="AY42">
        <v>7976560374</v>
      </c>
      <c r="AZ42" t="s">
        <v>222</v>
      </c>
      <c r="BA42" t="s">
        <v>108</v>
      </c>
      <c r="BB42" t="s">
        <v>669</v>
      </c>
      <c r="BC42" t="s">
        <v>669</v>
      </c>
      <c r="BD42" t="s">
        <v>148</v>
      </c>
      <c r="BE42" t="s">
        <v>109</v>
      </c>
      <c r="BF42">
        <v>996425</v>
      </c>
      <c r="BG42" t="s">
        <v>244</v>
      </c>
      <c r="BH42" t="s">
        <v>673</v>
      </c>
      <c r="BI42" t="s">
        <v>665</v>
      </c>
      <c r="BJ42">
        <v>1017</v>
      </c>
      <c r="BL42">
        <v>501</v>
      </c>
      <c r="BM42">
        <v>0</v>
      </c>
      <c r="BN42">
        <v>0</v>
      </c>
      <c r="BO42">
        <v>0.15358733999999999</v>
      </c>
      <c r="BP42" t="s">
        <v>674</v>
      </c>
      <c r="BU42">
        <v>1</v>
      </c>
      <c r="BV42" t="s">
        <v>675</v>
      </c>
      <c r="CA42">
        <v>501</v>
      </c>
      <c r="CB42" t="s">
        <v>154</v>
      </c>
      <c r="CC42" t="s">
        <v>222</v>
      </c>
      <c r="CE42" t="s">
        <v>111</v>
      </c>
      <c r="CF42" t="s">
        <v>676</v>
      </c>
      <c r="CJ42" t="s">
        <v>514</v>
      </c>
      <c r="CK42" t="s">
        <v>196</v>
      </c>
    </row>
    <row r="43" spans="1:89" x14ac:dyDescent="0.3">
      <c r="A43" t="s">
        <v>678</v>
      </c>
      <c r="B43" t="s">
        <v>631</v>
      </c>
      <c r="C43" t="s">
        <v>631</v>
      </c>
      <c r="D43" t="s">
        <v>121</v>
      </c>
      <c r="E43" t="s">
        <v>93</v>
      </c>
      <c r="F43" t="s">
        <v>558</v>
      </c>
      <c r="G43" t="s">
        <v>559</v>
      </c>
      <c r="H43">
        <v>3701618</v>
      </c>
      <c r="I43" t="s">
        <v>560</v>
      </c>
      <c r="K43" t="s">
        <v>679</v>
      </c>
      <c r="L43" t="s">
        <v>295</v>
      </c>
      <c r="M43" t="s">
        <v>122</v>
      </c>
      <c r="N43" t="s">
        <v>452</v>
      </c>
      <c r="O43" t="s">
        <v>96</v>
      </c>
      <c r="P43" t="s">
        <v>680</v>
      </c>
      <c r="Q43">
        <v>6320</v>
      </c>
      <c r="R43">
        <v>0</v>
      </c>
      <c r="S43">
        <v>483</v>
      </c>
      <c r="T43">
        <v>316</v>
      </c>
      <c r="U43">
        <v>7119</v>
      </c>
      <c r="V43">
        <v>75</v>
      </c>
      <c r="W43" t="s">
        <v>317</v>
      </c>
      <c r="X43" t="s">
        <v>97</v>
      </c>
      <c r="Y43" t="s">
        <v>631</v>
      </c>
      <c r="Z43" t="s">
        <v>681</v>
      </c>
      <c r="AB43" t="s">
        <v>99</v>
      </c>
      <c r="AC43" t="s">
        <v>141</v>
      </c>
      <c r="AD43" t="s">
        <v>682</v>
      </c>
      <c r="AE43">
        <v>1388479</v>
      </c>
      <c r="AF43" t="s">
        <v>567</v>
      </c>
      <c r="AG43" t="s">
        <v>101</v>
      </c>
      <c r="AH43" t="s">
        <v>102</v>
      </c>
      <c r="AI43" t="s">
        <v>196</v>
      </c>
      <c r="AJ43" t="s">
        <v>568</v>
      </c>
      <c r="AK43" t="s">
        <v>127</v>
      </c>
      <c r="AL43">
        <v>600</v>
      </c>
      <c r="AM43">
        <v>0</v>
      </c>
      <c r="AN43">
        <v>44946726</v>
      </c>
      <c r="AO43" t="s">
        <v>631</v>
      </c>
      <c r="AP43" t="s">
        <v>362</v>
      </c>
      <c r="AR43" t="s">
        <v>105</v>
      </c>
      <c r="AS43" t="s">
        <v>106</v>
      </c>
      <c r="AT43" t="s">
        <v>107</v>
      </c>
      <c r="AY43">
        <v>8903128200</v>
      </c>
      <c r="AZ43" t="s">
        <v>222</v>
      </c>
      <c r="BA43" t="s">
        <v>108</v>
      </c>
      <c r="BB43" t="s">
        <v>680</v>
      </c>
      <c r="BC43" t="s">
        <v>680</v>
      </c>
      <c r="BD43" t="s">
        <v>148</v>
      </c>
      <c r="BE43" t="s">
        <v>109</v>
      </c>
      <c r="BF43">
        <v>996425</v>
      </c>
      <c r="BG43" t="s">
        <v>383</v>
      </c>
      <c r="BH43" t="s">
        <v>570</v>
      </c>
      <c r="BI43" t="s">
        <v>559</v>
      </c>
      <c r="BJ43">
        <v>1139</v>
      </c>
      <c r="BL43">
        <v>316</v>
      </c>
      <c r="BM43">
        <v>0</v>
      </c>
      <c r="BN43">
        <v>0</v>
      </c>
      <c r="BO43">
        <v>0.18098710000000001</v>
      </c>
      <c r="BP43" t="s">
        <v>635</v>
      </c>
      <c r="BU43">
        <v>7</v>
      </c>
      <c r="BV43" t="s">
        <v>296</v>
      </c>
      <c r="CA43">
        <v>316</v>
      </c>
      <c r="CB43" t="s">
        <v>154</v>
      </c>
      <c r="CC43" t="s">
        <v>222</v>
      </c>
      <c r="CE43" t="s">
        <v>118</v>
      </c>
      <c r="CF43" t="s">
        <v>683</v>
      </c>
      <c r="CJ43" t="s">
        <v>324</v>
      </c>
      <c r="CK43" t="s">
        <v>112</v>
      </c>
    </row>
    <row r="44" spans="1:89" x14ac:dyDescent="0.3">
      <c r="A44" t="s">
        <v>685</v>
      </c>
      <c r="B44" t="s">
        <v>677</v>
      </c>
      <c r="C44" t="s">
        <v>677</v>
      </c>
      <c r="D44" t="s">
        <v>663</v>
      </c>
      <c r="E44" t="s">
        <v>93</v>
      </c>
      <c r="F44" t="s">
        <v>686</v>
      </c>
      <c r="G44" t="s">
        <v>687</v>
      </c>
      <c r="H44">
        <v>3701618</v>
      </c>
      <c r="I44" t="s">
        <v>503</v>
      </c>
      <c r="K44" t="s">
        <v>688</v>
      </c>
      <c r="L44" t="s">
        <v>689</v>
      </c>
      <c r="M44" t="s">
        <v>122</v>
      </c>
      <c r="N44" t="s">
        <v>690</v>
      </c>
      <c r="O44" t="s">
        <v>96</v>
      </c>
      <c r="P44" t="s">
        <v>691</v>
      </c>
      <c r="Q44">
        <v>7520</v>
      </c>
      <c r="R44">
        <v>0</v>
      </c>
      <c r="S44">
        <v>394</v>
      </c>
      <c r="T44">
        <v>376</v>
      </c>
      <c r="U44">
        <v>8290</v>
      </c>
      <c r="V44">
        <v>75</v>
      </c>
      <c r="W44" t="s">
        <v>507</v>
      </c>
      <c r="X44" t="s">
        <v>97</v>
      </c>
      <c r="Y44" t="s">
        <v>677</v>
      </c>
      <c r="Z44" t="s">
        <v>692</v>
      </c>
      <c r="AA44" t="s">
        <v>98</v>
      </c>
      <c r="AB44" t="s">
        <v>99</v>
      </c>
      <c r="AC44" t="s">
        <v>141</v>
      </c>
      <c r="AD44" t="s">
        <v>693</v>
      </c>
      <c r="AE44">
        <v>1389805</v>
      </c>
      <c r="AF44" t="s">
        <v>194</v>
      </c>
      <c r="AG44" t="s">
        <v>115</v>
      </c>
      <c r="AH44" t="s">
        <v>102</v>
      </c>
      <c r="AI44" t="s">
        <v>195</v>
      </c>
      <c r="AJ44" t="s">
        <v>694</v>
      </c>
      <c r="AK44" t="s">
        <v>201</v>
      </c>
      <c r="AL44">
        <v>275</v>
      </c>
      <c r="AM44">
        <v>0</v>
      </c>
      <c r="AN44">
        <v>44979006</v>
      </c>
      <c r="AO44" t="s">
        <v>677</v>
      </c>
      <c r="AP44" t="s">
        <v>406</v>
      </c>
      <c r="AR44" t="s">
        <v>105</v>
      </c>
      <c r="AS44" t="s">
        <v>106</v>
      </c>
      <c r="AT44" t="s">
        <v>107</v>
      </c>
      <c r="AY44">
        <v>8082227857</v>
      </c>
      <c r="AZ44" t="s">
        <v>222</v>
      </c>
      <c r="BA44" t="s">
        <v>108</v>
      </c>
      <c r="BB44" t="s">
        <v>691</v>
      </c>
      <c r="BC44" t="s">
        <v>691</v>
      </c>
      <c r="BD44" t="s">
        <v>148</v>
      </c>
      <c r="BE44" t="s">
        <v>109</v>
      </c>
      <c r="BF44">
        <v>996425</v>
      </c>
      <c r="BG44" t="s">
        <v>382</v>
      </c>
      <c r="BH44" t="s">
        <v>695</v>
      </c>
      <c r="BI44" t="s">
        <v>687</v>
      </c>
      <c r="BJ44">
        <v>474</v>
      </c>
      <c r="BL44">
        <v>376</v>
      </c>
      <c r="BM44">
        <v>0</v>
      </c>
      <c r="BN44">
        <v>0</v>
      </c>
      <c r="BO44">
        <v>7.5318599999999999E-2</v>
      </c>
      <c r="BP44" t="s">
        <v>696</v>
      </c>
      <c r="BU44">
        <v>5</v>
      </c>
      <c r="BV44" t="s">
        <v>697</v>
      </c>
      <c r="CA44">
        <v>376</v>
      </c>
      <c r="CB44" t="s">
        <v>154</v>
      </c>
      <c r="CC44" t="s">
        <v>222</v>
      </c>
      <c r="CE44" t="s">
        <v>111</v>
      </c>
      <c r="CF44" t="s">
        <v>698</v>
      </c>
      <c r="CJ44" t="s">
        <v>514</v>
      </c>
      <c r="CK44" t="s">
        <v>196</v>
      </c>
    </row>
    <row r="45" spans="1:89" x14ac:dyDescent="0.3">
      <c r="A45" t="s">
        <v>699</v>
      </c>
      <c r="B45" t="s">
        <v>677</v>
      </c>
      <c r="C45" t="s">
        <v>677</v>
      </c>
      <c r="D45" t="s">
        <v>663</v>
      </c>
      <c r="E45" t="s">
        <v>93</v>
      </c>
      <c r="F45" t="s">
        <v>686</v>
      </c>
      <c r="G45" t="s">
        <v>687</v>
      </c>
      <c r="H45">
        <v>3701618</v>
      </c>
      <c r="I45" t="s">
        <v>503</v>
      </c>
      <c r="K45" t="s">
        <v>354</v>
      </c>
      <c r="L45" t="s">
        <v>700</v>
      </c>
      <c r="M45" t="s">
        <v>122</v>
      </c>
      <c r="N45" t="s">
        <v>701</v>
      </c>
      <c r="O45" t="s">
        <v>96</v>
      </c>
      <c r="P45" t="s">
        <v>702</v>
      </c>
      <c r="Q45">
        <v>7160</v>
      </c>
      <c r="R45">
        <v>0</v>
      </c>
      <c r="S45">
        <v>1231</v>
      </c>
      <c r="T45">
        <v>358</v>
      </c>
      <c r="U45">
        <v>8749</v>
      </c>
      <c r="V45">
        <v>75</v>
      </c>
      <c r="W45" t="s">
        <v>507</v>
      </c>
      <c r="X45" t="s">
        <v>97</v>
      </c>
      <c r="Y45" t="s">
        <v>677</v>
      </c>
      <c r="Z45" t="s">
        <v>692</v>
      </c>
      <c r="AB45" t="s">
        <v>99</v>
      </c>
      <c r="AC45" t="s">
        <v>141</v>
      </c>
      <c r="AD45" t="s">
        <v>703</v>
      </c>
      <c r="AE45">
        <v>1389805</v>
      </c>
      <c r="AF45" t="s">
        <v>194</v>
      </c>
      <c r="AG45" t="s">
        <v>115</v>
      </c>
      <c r="AH45" t="s">
        <v>102</v>
      </c>
      <c r="AI45" t="s">
        <v>195</v>
      </c>
      <c r="AJ45" t="s">
        <v>694</v>
      </c>
      <c r="AK45" t="s">
        <v>201</v>
      </c>
      <c r="AL45">
        <v>275</v>
      </c>
      <c r="AM45">
        <v>0</v>
      </c>
      <c r="AN45">
        <v>44979006</v>
      </c>
      <c r="AO45" t="s">
        <v>677</v>
      </c>
      <c r="AP45" t="s">
        <v>406</v>
      </c>
      <c r="AR45" t="s">
        <v>105</v>
      </c>
      <c r="AS45" t="s">
        <v>106</v>
      </c>
      <c r="AT45" t="s">
        <v>107</v>
      </c>
      <c r="AY45">
        <v>8082227857</v>
      </c>
      <c r="AZ45" t="s">
        <v>222</v>
      </c>
      <c r="BA45" t="s">
        <v>108</v>
      </c>
      <c r="BB45" t="s">
        <v>702</v>
      </c>
      <c r="BC45" t="s">
        <v>702</v>
      </c>
      <c r="BD45" t="s">
        <v>148</v>
      </c>
      <c r="BE45" t="s">
        <v>109</v>
      </c>
      <c r="BF45">
        <v>996425</v>
      </c>
      <c r="BG45" t="s">
        <v>265</v>
      </c>
      <c r="BH45" t="s">
        <v>695</v>
      </c>
      <c r="BI45" t="s">
        <v>687</v>
      </c>
      <c r="BJ45">
        <v>474</v>
      </c>
      <c r="BL45">
        <v>358</v>
      </c>
      <c r="BM45">
        <v>0</v>
      </c>
      <c r="BN45">
        <v>0</v>
      </c>
      <c r="BO45">
        <v>7.5318599999999999E-2</v>
      </c>
      <c r="BP45" t="s">
        <v>704</v>
      </c>
      <c r="BU45">
        <v>7</v>
      </c>
      <c r="BV45" t="s">
        <v>705</v>
      </c>
      <c r="CA45">
        <v>358</v>
      </c>
      <c r="CB45" t="s">
        <v>154</v>
      </c>
      <c r="CC45" t="s">
        <v>222</v>
      </c>
      <c r="CE45" t="s">
        <v>111</v>
      </c>
      <c r="CF45" t="s">
        <v>706</v>
      </c>
      <c r="CJ45" t="s">
        <v>514</v>
      </c>
      <c r="CK45" t="s">
        <v>196</v>
      </c>
    </row>
    <row r="46" spans="1:89" x14ac:dyDescent="0.3">
      <c r="A46" t="s">
        <v>709</v>
      </c>
      <c r="B46" t="s">
        <v>710</v>
      </c>
      <c r="C46" t="s">
        <v>710</v>
      </c>
      <c r="D46" t="s">
        <v>210</v>
      </c>
      <c r="E46" t="s">
        <v>93</v>
      </c>
      <c r="F46" t="s">
        <v>215</v>
      </c>
      <c r="G46" t="s">
        <v>224</v>
      </c>
      <c r="H46">
        <v>3701618</v>
      </c>
      <c r="I46" t="s">
        <v>213</v>
      </c>
      <c r="K46" t="s">
        <v>711</v>
      </c>
      <c r="L46" t="s">
        <v>258</v>
      </c>
      <c r="M46" t="s">
        <v>95</v>
      </c>
      <c r="N46" t="s">
        <v>552</v>
      </c>
      <c r="O46" t="s">
        <v>96</v>
      </c>
      <c r="P46">
        <v>5809088474</v>
      </c>
      <c r="Q46">
        <v>8280</v>
      </c>
      <c r="R46">
        <v>0</v>
      </c>
      <c r="S46">
        <v>384</v>
      </c>
      <c r="T46">
        <v>414</v>
      </c>
      <c r="U46">
        <v>9078</v>
      </c>
      <c r="V46">
        <v>75</v>
      </c>
      <c r="W46" t="s">
        <v>269</v>
      </c>
      <c r="X46" t="s">
        <v>97</v>
      </c>
      <c r="Y46" t="s">
        <v>710</v>
      </c>
      <c r="Z46" t="s">
        <v>712</v>
      </c>
      <c r="AB46" t="s">
        <v>99</v>
      </c>
      <c r="AC46" t="s">
        <v>141</v>
      </c>
      <c r="AD46" t="s">
        <v>713</v>
      </c>
      <c r="AE46">
        <v>1388087</v>
      </c>
      <c r="AF46" t="s">
        <v>421</v>
      </c>
      <c r="AG46" t="s">
        <v>101</v>
      </c>
      <c r="AH46" t="s">
        <v>102</v>
      </c>
      <c r="AI46" t="s">
        <v>196</v>
      </c>
      <c r="AJ46" t="s">
        <v>422</v>
      </c>
      <c r="AK46" t="s">
        <v>264</v>
      </c>
      <c r="AL46">
        <v>549</v>
      </c>
      <c r="AM46">
        <v>170</v>
      </c>
      <c r="AN46">
        <v>44990798</v>
      </c>
      <c r="AO46" t="s">
        <v>710</v>
      </c>
      <c r="AP46" t="s">
        <v>714</v>
      </c>
      <c r="AR46" t="s">
        <v>105</v>
      </c>
      <c r="AS46" t="s">
        <v>106</v>
      </c>
      <c r="AT46" t="s">
        <v>107</v>
      </c>
      <c r="AY46">
        <v>9971252225</v>
      </c>
      <c r="AZ46" t="s">
        <v>222</v>
      </c>
      <c r="BA46" t="s">
        <v>108</v>
      </c>
      <c r="BB46" t="s">
        <v>715</v>
      </c>
      <c r="BC46" t="s">
        <v>716</v>
      </c>
      <c r="BD46" t="s">
        <v>148</v>
      </c>
      <c r="BE46" t="s">
        <v>109</v>
      </c>
      <c r="BF46">
        <v>996425</v>
      </c>
      <c r="BG46" t="s">
        <v>629</v>
      </c>
      <c r="BH46" t="s">
        <v>150</v>
      </c>
      <c r="BI46" t="s">
        <v>151</v>
      </c>
      <c r="BJ46">
        <v>1313</v>
      </c>
      <c r="BL46">
        <v>0</v>
      </c>
      <c r="BM46">
        <v>0</v>
      </c>
      <c r="BN46">
        <v>0</v>
      </c>
      <c r="BO46">
        <v>0.20863570000000001</v>
      </c>
      <c r="BP46" t="s">
        <v>717</v>
      </c>
      <c r="BU46">
        <v>7</v>
      </c>
      <c r="BV46" t="s">
        <v>259</v>
      </c>
      <c r="CA46">
        <v>414</v>
      </c>
      <c r="CB46" t="s">
        <v>154</v>
      </c>
      <c r="CC46" t="s">
        <v>222</v>
      </c>
      <c r="CE46" t="s">
        <v>111</v>
      </c>
      <c r="CF46" t="s">
        <v>718</v>
      </c>
      <c r="CJ46" t="s">
        <v>270</v>
      </c>
      <c r="CK46" t="s">
        <v>112</v>
      </c>
    </row>
    <row r="47" spans="1:89" x14ac:dyDescent="0.3">
      <c r="A47" t="s">
        <v>719</v>
      </c>
      <c r="B47" t="s">
        <v>710</v>
      </c>
      <c r="C47" t="s">
        <v>710</v>
      </c>
      <c r="D47" t="s">
        <v>210</v>
      </c>
      <c r="E47" t="s">
        <v>93</v>
      </c>
      <c r="F47" t="s">
        <v>215</v>
      </c>
      <c r="G47" t="s">
        <v>224</v>
      </c>
      <c r="H47">
        <v>3701618</v>
      </c>
      <c r="I47" t="s">
        <v>213</v>
      </c>
      <c r="K47" t="s">
        <v>720</v>
      </c>
      <c r="L47" t="s">
        <v>255</v>
      </c>
      <c r="M47" t="s">
        <v>95</v>
      </c>
      <c r="N47" t="s">
        <v>721</v>
      </c>
      <c r="O47" t="s">
        <v>96</v>
      </c>
      <c r="P47">
        <v>5809093019</v>
      </c>
      <c r="Q47">
        <v>8620</v>
      </c>
      <c r="R47">
        <v>0</v>
      </c>
      <c r="S47">
        <v>945</v>
      </c>
      <c r="T47">
        <v>431</v>
      </c>
      <c r="U47">
        <v>9996</v>
      </c>
      <c r="V47">
        <v>75</v>
      </c>
      <c r="W47" t="s">
        <v>269</v>
      </c>
      <c r="X47" t="s">
        <v>97</v>
      </c>
      <c r="Y47" t="s">
        <v>710</v>
      </c>
      <c r="Z47" t="s">
        <v>722</v>
      </c>
      <c r="AA47" t="s">
        <v>98</v>
      </c>
      <c r="AB47" t="s">
        <v>99</v>
      </c>
      <c r="AC47" t="s">
        <v>141</v>
      </c>
      <c r="AD47" t="s">
        <v>723</v>
      </c>
      <c r="AE47">
        <v>1388087</v>
      </c>
      <c r="AF47" t="s">
        <v>421</v>
      </c>
      <c r="AG47" t="s">
        <v>101</v>
      </c>
      <c r="AH47" t="s">
        <v>102</v>
      </c>
      <c r="AI47" t="s">
        <v>196</v>
      </c>
      <c r="AJ47" t="s">
        <v>422</v>
      </c>
      <c r="AK47" t="s">
        <v>104</v>
      </c>
      <c r="AL47">
        <v>549</v>
      </c>
      <c r="AM47">
        <v>170</v>
      </c>
      <c r="AN47">
        <v>44990409</v>
      </c>
      <c r="AO47" t="s">
        <v>710</v>
      </c>
      <c r="AP47" t="s">
        <v>724</v>
      </c>
      <c r="AR47" t="s">
        <v>105</v>
      </c>
      <c r="AS47" t="s">
        <v>106</v>
      </c>
      <c r="AT47" t="s">
        <v>107</v>
      </c>
      <c r="AY47">
        <v>9971252225</v>
      </c>
      <c r="AZ47" t="s">
        <v>222</v>
      </c>
      <c r="BA47" t="s">
        <v>108</v>
      </c>
      <c r="BB47" t="s">
        <v>725</v>
      </c>
      <c r="BC47" t="s">
        <v>726</v>
      </c>
      <c r="BD47" t="s">
        <v>148</v>
      </c>
      <c r="BE47" t="s">
        <v>109</v>
      </c>
      <c r="BF47">
        <v>996425</v>
      </c>
      <c r="BG47" t="s">
        <v>438</v>
      </c>
      <c r="BH47" t="s">
        <v>150</v>
      </c>
      <c r="BI47" t="s">
        <v>151</v>
      </c>
      <c r="BJ47">
        <v>1313</v>
      </c>
      <c r="BL47">
        <v>0</v>
      </c>
      <c r="BM47">
        <v>0</v>
      </c>
      <c r="BN47">
        <v>0</v>
      </c>
      <c r="BO47">
        <v>0.20863570000000001</v>
      </c>
      <c r="BP47" t="s">
        <v>727</v>
      </c>
      <c r="BU47">
        <v>3</v>
      </c>
      <c r="BV47" t="s">
        <v>257</v>
      </c>
      <c r="CA47">
        <v>431</v>
      </c>
      <c r="CB47" t="s">
        <v>154</v>
      </c>
      <c r="CC47" t="s">
        <v>222</v>
      </c>
      <c r="CE47" t="s">
        <v>111</v>
      </c>
      <c r="CF47" t="s">
        <v>728</v>
      </c>
      <c r="CJ47" t="s">
        <v>270</v>
      </c>
      <c r="CK47" t="s">
        <v>112</v>
      </c>
    </row>
    <row r="48" spans="1:89" x14ac:dyDescent="0.3">
      <c r="A48" t="s">
        <v>729</v>
      </c>
      <c r="B48" t="s">
        <v>684</v>
      </c>
      <c r="C48" t="s">
        <v>684</v>
      </c>
      <c r="D48" t="s">
        <v>730</v>
      </c>
      <c r="E48" t="s">
        <v>93</v>
      </c>
      <c r="F48" t="s">
        <v>731</v>
      </c>
      <c r="G48" t="s">
        <v>732</v>
      </c>
      <c r="I48" t="s">
        <v>627</v>
      </c>
      <c r="K48" t="s">
        <v>733</v>
      </c>
      <c r="L48" t="s">
        <v>297</v>
      </c>
      <c r="M48" t="s">
        <v>122</v>
      </c>
      <c r="N48" t="s">
        <v>734</v>
      </c>
      <c r="O48" t="s">
        <v>96</v>
      </c>
      <c r="P48" t="s">
        <v>735</v>
      </c>
      <c r="Q48">
        <v>6320</v>
      </c>
      <c r="R48">
        <v>0</v>
      </c>
      <c r="S48">
        <v>515</v>
      </c>
      <c r="T48">
        <v>316</v>
      </c>
      <c r="U48">
        <v>7151</v>
      </c>
      <c r="V48">
        <v>75</v>
      </c>
      <c r="W48" t="s">
        <v>317</v>
      </c>
      <c r="X48" t="s">
        <v>97</v>
      </c>
      <c r="Y48" t="s">
        <v>684</v>
      </c>
      <c r="Z48" t="s">
        <v>604</v>
      </c>
      <c r="AB48" t="s">
        <v>99</v>
      </c>
      <c r="AC48" t="s">
        <v>141</v>
      </c>
      <c r="AD48" t="s">
        <v>736</v>
      </c>
      <c r="AE48">
        <v>2897978</v>
      </c>
      <c r="AF48" t="s">
        <v>240</v>
      </c>
      <c r="AG48" t="s">
        <v>101</v>
      </c>
      <c r="AH48" t="s">
        <v>102</v>
      </c>
      <c r="AI48" t="s">
        <v>190</v>
      </c>
      <c r="AJ48" t="s">
        <v>737</v>
      </c>
      <c r="AK48" t="s">
        <v>127</v>
      </c>
      <c r="AL48">
        <v>600</v>
      </c>
      <c r="AM48">
        <v>0</v>
      </c>
      <c r="AN48">
        <v>45018050</v>
      </c>
      <c r="AO48" t="s">
        <v>684</v>
      </c>
      <c r="AP48" t="s">
        <v>202</v>
      </c>
      <c r="AR48" t="s">
        <v>105</v>
      </c>
      <c r="AS48" t="s">
        <v>106</v>
      </c>
      <c r="AT48" t="s">
        <v>107</v>
      </c>
      <c r="AY48">
        <v>7840040488</v>
      </c>
      <c r="AZ48" t="s">
        <v>222</v>
      </c>
      <c r="BA48" t="s">
        <v>108</v>
      </c>
      <c r="BB48" t="s">
        <v>735</v>
      </c>
      <c r="BC48" t="s">
        <v>735</v>
      </c>
      <c r="BD48" t="s">
        <v>148</v>
      </c>
      <c r="BE48" t="s">
        <v>109</v>
      </c>
      <c r="BF48">
        <v>996425</v>
      </c>
      <c r="BG48" t="s">
        <v>629</v>
      </c>
      <c r="BH48" t="s">
        <v>150</v>
      </c>
      <c r="BI48" t="s">
        <v>151</v>
      </c>
      <c r="BJ48">
        <v>1139</v>
      </c>
      <c r="BL48">
        <v>316</v>
      </c>
      <c r="BM48">
        <v>0</v>
      </c>
      <c r="BN48">
        <v>0</v>
      </c>
      <c r="BO48">
        <v>0.18098710000000001</v>
      </c>
      <c r="BP48" t="s">
        <v>738</v>
      </c>
      <c r="BU48">
        <v>6</v>
      </c>
      <c r="BV48" t="s">
        <v>298</v>
      </c>
      <c r="CA48">
        <v>316</v>
      </c>
      <c r="CB48" t="s">
        <v>154</v>
      </c>
      <c r="CC48" t="s">
        <v>222</v>
      </c>
      <c r="CE48" t="s">
        <v>111</v>
      </c>
      <c r="CF48" t="s">
        <v>739</v>
      </c>
      <c r="CJ48" t="s">
        <v>324</v>
      </c>
      <c r="CK48" t="s">
        <v>112</v>
      </c>
    </row>
    <row r="49" spans="1:91" x14ac:dyDescent="0.3">
      <c r="A49" t="s">
        <v>741</v>
      </c>
      <c r="B49" t="s">
        <v>684</v>
      </c>
      <c r="C49" t="s">
        <v>684</v>
      </c>
      <c r="D49" t="s">
        <v>730</v>
      </c>
      <c r="E49" t="s">
        <v>93</v>
      </c>
      <c r="F49" t="s">
        <v>731</v>
      </c>
      <c r="G49" t="s">
        <v>732</v>
      </c>
      <c r="I49" t="s">
        <v>627</v>
      </c>
      <c r="K49" t="s">
        <v>742</v>
      </c>
      <c r="L49" t="s">
        <v>743</v>
      </c>
      <c r="M49" t="s">
        <v>122</v>
      </c>
      <c r="N49" t="s">
        <v>744</v>
      </c>
      <c r="O49" t="s">
        <v>96</v>
      </c>
      <c r="P49" t="s">
        <v>745</v>
      </c>
      <c r="Q49">
        <v>9140</v>
      </c>
      <c r="R49">
        <v>0</v>
      </c>
      <c r="S49">
        <v>392</v>
      </c>
      <c r="T49">
        <v>457</v>
      </c>
      <c r="U49">
        <v>9989</v>
      </c>
      <c r="V49">
        <v>75</v>
      </c>
      <c r="W49" t="s">
        <v>317</v>
      </c>
      <c r="X49" t="s">
        <v>97</v>
      </c>
      <c r="Y49" t="s">
        <v>684</v>
      </c>
      <c r="Z49" t="s">
        <v>746</v>
      </c>
      <c r="AA49" t="s">
        <v>98</v>
      </c>
      <c r="AB49" t="s">
        <v>99</v>
      </c>
      <c r="AC49" t="s">
        <v>141</v>
      </c>
      <c r="AD49" t="s">
        <v>747</v>
      </c>
      <c r="AE49">
        <v>2897978</v>
      </c>
      <c r="AF49" t="s">
        <v>240</v>
      </c>
      <c r="AG49" t="s">
        <v>101</v>
      </c>
      <c r="AH49" t="s">
        <v>102</v>
      </c>
      <c r="AI49" t="s">
        <v>190</v>
      </c>
      <c r="AJ49" t="s">
        <v>737</v>
      </c>
      <c r="AK49" t="s">
        <v>524</v>
      </c>
      <c r="AL49">
        <v>400</v>
      </c>
      <c r="AM49">
        <v>0</v>
      </c>
      <c r="AN49">
        <v>45014660</v>
      </c>
      <c r="AO49" t="s">
        <v>684</v>
      </c>
      <c r="AP49" t="s">
        <v>467</v>
      </c>
      <c r="AR49" t="s">
        <v>105</v>
      </c>
      <c r="AS49" t="s">
        <v>106</v>
      </c>
      <c r="AT49" t="s">
        <v>107</v>
      </c>
      <c r="AY49">
        <v>7840040488</v>
      </c>
      <c r="AZ49" t="s">
        <v>222</v>
      </c>
      <c r="BA49" t="s">
        <v>108</v>
      </c>
      <c r="BB49" t="s">
        <v>745</v>
      </c>
      <c r="BC49" t="s">
        <v>745</v>
      </c>
      <c r="BD49" t="s">
        <v>148</v>
      </c>
      <c r="BE49" t="s">
        <v>109</v>
      </c>
      <c r="BF49">
        <v>996425</v>
      </c>
      <c r="BG49" t="s">
        <v>438</v>
      </c>
      <c r="BH49" t="s">
        <v>150</v>
      </c>
      <c r="BI49" t="s">
        <v>151</v>
      </c>
      <c r="BJ49">
        <v>794</v>
      </c>
      <c r="BL49">
        <v>457</v>
      </c>
      <c r="BM49">
        <v>0</v>
      </c>
      <c r="BN49">
        <v>0</v>
      </c>
      <c r="BO49">
        <v>0.11975885999999999</v>
      </c>
      <c r="BP49" t="s">
        <v>748</v>
      </c>
      <c r="BU49">
        <v>2</v>
      </c>
      <c r="BV49" t="s">
        <v>749</v>
      </c>
      <c r="CA49">
        <v>457</v>
      </c>
      <c r="CB49" t="s">
        <v>154</v>
      </c>
      <c r="CC49" t="s">
        <v>222</v>
      </c>
      <c r="CE49" t="s">
        <v>111</v>
      </c>
      <c r="CF49" t="s">
        <v>750</v>
      </c>
      <c r="CJ49" t="s">
        <v>324</v>
      </c>
      <c r="CK49" t="s">
        <v>112</v>
      </c>
    </row>
    <row r="50" spans="1:91" x14ac:dyDescent="0.3">
      <c r="A50" t="s">
        <v>751</v>
      </c>
      <c r="B50" t="s">
        <v>708</v>
      </c>
      <c r="C50" t="s">
        <v>708</v>
      </c>
      <c r="D50" t="s">
        <v>210</v>
      </c>
      <c r="E50" t="s">
        <v>93</v>
      </c>
      <c r="F50" t="s">
        <v>752</v>
      </c>
      <c r="G50" t="s">
        <v>753</v>
      </c>
      <c r="I50" t="s">
        <v>213</v>
      </c>
      <c r="K50" t="s">
        <v>754</v>
      </c>
      <c r="L50" t="s">
        <v>258</v>
      </c>
      <c r="M50" t="s">
        <v>95</v>
      </c>
      <c r="N50" t="s">
        <v>755</v>
      </c>
      <c r="O50" t="s">
        <v>96</v>
      </c>
      <c r="P50">
        <v>5809133822</v>
      </c>
      <c r="Q50">
        <v>8700</v>
      </c>
      <c r="R50">
        <v>0</v>
      </c>
      <c r="S50">
        <v>372</v>
      </c>
      <c r="T50">
        <v>435</v>
      </c>
      <c r="U50">
        <v>9507</v>
      </c>
      <c r="V50">
        <v>75</v>
      </c>
      <c r="W50" t="s">
        <v>211</v>
      </c>
      <c r="X50" t="s">
        <v>97</v>
      </c>
      <c r="Y50" t="s">
        <v>708</v>
      </c>
      <c r="Z50" t="s">
        <v>467</v>
      </c>
      <c r="AB50" t="s">
        <v>99</v>
      </c>
      <c r="AC50" t="s">
        <v>141</v>
      </c>
      <c r="AD50" t="s">
        <v>756</v>
      </c>
      <c r="AE50">
        <v>7189632</v>
      </c>
      <c r="AF50" t="s">
        <v>100</v>
      </c>
      <c r="AG50" t="s">
        <v>115</v>
      </c>
      <c r="AH50" t="s">
        <v>102</v>
      </c>
      <c r="AI50" t="s">
        <v>103</v>
      </c>
      <c r="AJ50" t="s">
        <v>757</v>
      </c>
      <c r="AK50" t="s">
        <v>239</v>
      </c>
      <c r="AL50">
        <v>549</v>
      </c>
      <c r="AM50">
        <v>170</v>
      </c>
      <c r="AN50">
        <v>44999935</v>
      </c>
      <c r="AO50" t="s">
        <v>710</v>
      </c>
      <c r="AP50" t="s">
        <v>758</v>
      </c>
      <c r="AR50" t="s">
        <v>105</v>
      </c>
      <c r="AS50" t="s">
        <v>106</v>
      </c>
      <c r="AT50" t="s">
        <v>107</v>
      </c>
      <c r="AY50">
        <v>6289241114</v>
      </c>
      <c r="AZ50" t="s">
        <v>222</v>
      </c>
      <c r="BA50" t="s">
        <v>108</v>
      </c>
      <c r="BB50" t="s">
        <v>759</v>
      </c>
      <c r="BC50" t="s">
        <v>760</v>
      </c>
      <c r="BD50" t="s">
        <v>148</v>
      </c>
      <c r="BE50" t="s">
        <v>109</v>
      </c>
      <c r="BF50">
        <v>996425</v>
      </c>
      <c r="BG50" t="s">
        <v>629</v>
      </c>
      <c r="BH50" t="s">
        <v>761</v>
      </c>
      <c r="BI50" t="s">
        <v>753</v>
      </c>
      <c r="BJ50">
        <v>1313</v>
      </c>
      <c r="BL50">
        <v>0</v>
      </c>
      <c r="BM50">
        <v>0</v>
      </c>
      <c r="BN50">
        <v>0</v>
      </c>
      <c r="BO50">
        <v>0.20863570000000001</v>
      </c>
      <c r="BP50" t="s">
        <v>762</v>
      </c>
      <c r="BU50">
        <v>7</v>
      </c>
      <c r="BV50" t="s">
        <v>259</v>
      </c>
      <c r="CA50">
        <v>435</v>
      </c>
      <c r="CB50" t="s">
        <v>154</v>
      </c>
      <c r="CC50" t="s">
        <v>222</v>
      </c>
      <c r="CE50" t="s">
        <v>111</v>
      </c>
      <c r="CF50" t="s">
        <v>763</v>
      </c>
      <c r="CJ50" t="s">
        <v>212</v>
      </c>
      <c r="CK50" t="s">
        <v>190</v>
      </c>
    </row>
    <row r="51" spans="1:91" x14ac:dyDescent="0.3">
      <c r="A51" t="s">
        <v>764</v>
      </c>
      <c r="B51" t="s">
        <v>708</v>
      </c>
      <c r="C51" t="s">
        <v>708</v>
      </c>
      <c r="D51" t="s">
        <v>210</v>
      </c>
      <c r="E51" t="s">
        <v>93</v>
      </c>
      <c r="F51" t="s">
        <v>752</v>
      </c>
      <c r="G51" t="s">
        <v>753</v>
      </c>
      <c r="I51" t="s">
        <v>213</v>
      </c>
      <c r="K51" t="s">
        <v>765</v>
      </c>
      <c r="L51" t="s">
        <v>255</v>
      </c>
      <c r="M51" t="s">
        <v>306</v>
      </c>
      <c r="N51" t="s">
        <v>766</v>
      </c>
      <c r="O51" t="s">
        <v>96</v>
      </c>
      <c r="P51" t="s">
        <v>767</v>
      </c>
      <c r="Q51">
        <v>7480</v>
      </c>
      <c r="R51">
        <v>0</v>
      </c>
      <c r="S51">
        <v>943</v>
      </c>
      <c r="T51">
        <v>374</v>
      </c>
      <c r="U51">
        <v>8797</v>
      </c>
      <c r="V51">
        <v>75</v>
      </c>
      <c r="W51" t="s">
        <v>211</v>
      </c>
      <c r="X51" t="s">
        <v>97</v>
      </c>
      <c r="Y51" t="s">
        <v>708</v>
      </c>
      <c r="Z51" t="s">
        <v>467</v>
      </c>
      <c r="AB51" t="s">
        <v>99</v>
      </c>
      <c r="AC51" t="s">
        <v>141</v>
      </c>
      <c r="AD51" t="s">
        <v>768</v>
      </c>
      <c r="AE51">
        <v>7189632</v>
      </c>
      <c r="AF51" t="s">
        <v>100</v>
      </c>
      <c r="AG51" t="s">
        <v>115</v>
      </c>
      <c r="AH51" t="s">
        <v>102</v>
      </c>
      <c r="AI51" t="s">
        <v>103</v>
      </c>
      <c r="AJ51" t="s">
        <v>757</v>
      </c>
      <c r="AK51" t="s">
        <v>769</v>
      </c>
      <c r="AL51">
        <v>0</v>
      </c>
      <c r="AM51">
        <v>0</v>
      </c>
      <c r="AN51">
        <v>44999935</v>
      </c>
      <c r="AO51" t="s">
        <v>710</v>
      </c>
      <c r="AP51" t="s">
        <v>758</v>
      </c>
      <c r="AR51" t="s">
        <v>105</v>
      </c>
      <c r="AS51" t="s">
        <v>106</v>
      </c>
      <c r="AT51" t="s">
        <v>107</v>
      </c>
      <c r="AY51">
        <v>6289241114</v>
      </c>
      <c r="AZ51" t="s">
        <v>222</v>
      </c>
      <c r="BA51" t="s">
        <v>108</v>
      </c>
      <c r="BB51" t="s">
        <v>767</v>
      </c>
      <c r="BC51" t="s">
        <v>767</v>
      </c>
      <c r="BD51" t="s">
        <v>148</v>
      </c>
      <c r="BE51" t="s">
        <v>109</v>
      </c>
      <c r="BF51">
        <v>996425</v>
      </c>
      <c r="BG51" t="s">
        <v>382</v>
      </c>
      <c r="BH51" t="s">
        <v>761</v>
      </c>
      <c r="BI51" t="s">
        <v>753</v>
      </c>
      <c r="BJ51">
        <v>1313</v>
      </c>
      <c r="BL51">
        <v>374</v>
      </c>
      <c r="BM51">
        <v>0</v>
      </c>
      <c r="BN51">
        <v>0</v>
      </c>
      <c r="BO51">
        <v>0.19828925999999999</v>
      </c>
      <c r="BP51" t="s">
        <v>770</v>
      </c>
      <c r="BU51">
        <v>4</v>
      </c>
      <c r="BV51" t="s">
        <v>257</v>
      </c>
      <c r="CA51">
        <v>374</v>
      </c>
      <c r="CB51" t="s">
        <v>154</v>
      </c>
      <c r="CC51" t="s">
        <v>222</v>
      </c>
      <c r="CE51" t="s">
        <v>111</v>
      </c>
      <c r="CF51" t="s">
        <v>771</v>
      </c>
      <c r="CJ51" t="s">
        <v>212</v>
      </c>
      <c r="CK51" t="s">
        <v>190</v>
      </c>
    </row>
    <row r="52" spans="1:91" x14ac:dyDescent="0.3">
      <c r="A52" t="s">
        <v>776</v>
      </c>
      <c r="B52" t="s">
        <v>772</v>
      </c>
      <c r="C52" t="s">
        <v>772</v>
      </c>
      <c r="D52" t="s">
        <v>336</v>
      </c>
      <c r="E52" t="s">
        <v>93</v>
      </c>
      <c r="F52" t="s">
        <v>777</v>
      </c>
      <c r="G52" t="s">
        <v>778</v>
      </c>
      <c r="I52" t="s">
        <v>339</v>
      </c>
      <c r="K52" t="s">
        <v>779</v>
      </c>
      <c r="L52" t="s">
        <v>780</v>
      </c>
      <c r="M52" t="s">
        <v>122</v>
      </c>
      <c r="N52" t="s">
        <v>781</v>
      </c>
      <c r="O52" t="s">
        <v>96</v>
      </c>
      <c r="P52" t="s">
        <v>782</v>
      </c>
      <c r="Q52">
        <v>7500</v>
      </c>
      <c r="R52">
        <v>0</v>
      </c>
      <c r="S52">
        <v>439</v>
      </c>
      <c r="T52">
        <v>375</v>
      </c>
      <c r="U52">
        <v>8314</v>
      </c>
      <c r="V52">
        <v>75</v>
      </c>
      <c r="W52" t="s">
        <v>607</v>
      </c>
      <c r="X52" t="s">
        <v>97</v>
      </c>
      <c r="Y52" t="s">
        <v>772</v>
      </c>
      <c r="Z52" t="s">
        <v>783</v>
      </c>
      <c r="AB52" t="s">
        <v>99</v>
      </c>
      <c r="AC52" t="s">
        <v>141</v>
      </c>
      <c r="AD52" t="s">
        <v>784</v>
      </c>
      <c r="AE52">
        <v>2413020</v>
      </c>
      <c r="AF52" t="s">
        <v>194</v>
      </c>
      <c r="AG52" t="s">
        <v>101</v>
      </c>
      <c r="AH52" t="s">
        <v>102</v>
      </c>
      <c r="AI52" t="s">
        <v>195</v>
      </c>
      <c r="AJ52" t="s">
        <v>785</v>
      </c>
      <c r="AK52" t="s">
        <v>307</v>
      </c>
      <c r="AL52">
        <v>400</v>
      </c>
      <c r="AM52">
        <v>0</v>
      </c>
      <c r="AN52">
        <v>45014017</v>
      </c>
      <c r="AO52" t="s">
        <v>684</v>
      </c>
      <c r="AP52" t="s">
        <v>384</v>
      </c>
      <c r="AR52" t="s">
        <v>105</v>
      </c>
      <c r="AS52" t="s">
        <v>106</v>
      </c>
      <c r="AT52" t="s">
        <v>107</v>
      </c>
      <c r="AY52">
        <v>8169563452</v>
      </c>
      <c r="AZ52" t="s">
        <v>222</v>
      </c>
      <c r="BA52" t="s">
        <v>108</v>
      </c>
      <c r="BB52" t="s">
        <v>782</v>
      </c>
      <c r="BC52" t="s">
        <v>782</v>
      </c>
      <c r="BD52" t="s">
        <v>148</v>
      </c>
      <c r="BE52" t="s">
        <v>109</v>
      </c>
      <c r="BF52">
        <v>996425</v>
      </c>
      <c r="BG52" t="s">
        <v>383</v>
      </c>
      <c r="BH52" t="s">
        <v>777</v>
      </c>
      <c r="BI52" t="s">
        <v>778</v>
      </c>
      <c r="BJ52">
        <v>658</v>
      </c>
      <c r="BL52">
        <v>375</v>
      </c>
      <c r="BM52">
        <v>0</v>
      </c>
      <c r="BN52">
        <v>0</v>
      </c>
      <c r="BO52">
        <v>9.937116E-2</v>
      </c>
      <c r="BP52" t="s">
        <v>786</v>
      </c>
      <c r="BU52">
        <v>4</v>
      </c>
      <c r="BV52" t="s">
        <v>787</v>
      </c>
      <c r="CA52">
        <v>375</v>
      </c>
      <c r="CB52" t="s">
        <v>154</v>
      </c>
      <c r="CC52" t="s">
        <v>222</v>
      </c>
      <c r="CE52" t="s">
        <v>111</v>
      </c>
      <c r="CF52" t="s">
        <v>788</v>
      </c>
      <c r="CJ52" t="s">
        <v>608</v>
      </c>
      <c r="CK52" t="s">
        <v>103</v>
      </c>
    </row>
    <row r="53" spans="1:91" x14ac:dyDescent="0.3">
      <c r="A53" t="s">
        <v>789</v>
      </c>
      <c r="B53" t="s">
        <v>772</v>
      </c>
      <c r="C53" t="s">
        <v>772</v>
      </c>
      <c r="D53" t="s">
        <v>336</v>
      </c>
      <c r="E53" t="s">
        <v>93</v>
      </c>
      <c r="F53" t="s">
        <v>607</v>
      </c>
      <c r="G53" t="s">
        <v>608</v>
      </c>
      <c r="I53" t="s">
        <v>339</v>
      </c>
      <c r="K53" t="s">
        <v>790</v>
      </c>
      <c r="L53" t="s">
        <v>302</v>
      </c>
      <c r="M53" t="s">
        <v>341</v>
      </c>
      <c r="N53" t="s">
        <v>791</v>
      </c>
      <c r="O53" t="s">
        <v>96</v>
      </c>
      <c r="P53" t="s">
        <v>792</v>
      </c>
      <c r="Q53">
        <v>3980</v>
      </c>
      <c r="R53">
        <v>0</v>
      </c>
      <c r="S53">
        <v>1216</v>
      </c>
      <c r="T53">
        <v>199</v>
      </c>
      <c r="U53">
        <v>5395</v>
      </c>
      <c r="V53">
        <v>75</v>
      </c>
      <c r="W53" t="s">
        <v>269</v>
      </c>
      <c r="X53" t="s">
        <v>97</v>
      </c>
      <c r="Y53" t="s">
        <v>772</v>
      </c>
      <c r="Z53" t="s">
        <v>659</v>
      </c>
      <c r="AB53" t="s">
        <v>99</v>
      </c>
      <c r="AC53" t="s">
        <v>141</v>
      </c>
      <c r="AD53" t="s">
        <v>793</v>
      </c>
      <c r="AE53">
        <v>6900149</v>
      </c>
      <c r="AF53" t="s">
        <v>100</v>
      </c>
      <c r="AG53" t="s">
        <v>115</v>
      </c>
      <c r="AH53" t="s">
        <v>102</v>
      </c>
      <c r="AI53" t="s">
        <v>103</v>
      </c>
      <c r="AJ53" t="s">
        <v>613</v>
      </c>
      <c r="AK53" t="s">
        <v>348</v>
      </c>
      <c r="AL53">
        <v>399</v>
      </c>
      <c r="AM53">
        <v>0</v>
      </c>
      <c r="AN53">
        <v>45055044</v>
      </c>
      <c r="AO53" t="s">
        <v>772</v>
      </c>
      <c r="AP53" t="s">
        <v>405</v>
      </c>
      <c r="AR53" t="s">
        <v>124</v>
      </c>
      <c r="AS53" t="s">
        <v>106</v>
      </c>
      <c r="AT53" t="s">
        <v>107</v>
      </c>
      <c r="AY53">
        <v>9899203334</v>
      </c>
      <c r="AZ53" t="s">
        <v>222</v>
      </c>
      <c r="BA53" t="s">
        <v>108</v>
      </c>
      <c r="BB53" t="s">
        <v>792</v>
      </c>
      <c r="BC53" t="s">
        <v>792</v>
      </c>
      <c r="BD53" t="s">
        <v>148</v>
      </c>
      <c r="BE53" t="s">
        <v>109</v>
      </c>
      <c r="BF53">
        <v>996425</v>
      </c>
      <c r="BG53" t="s">
        <v>629</v>
      </c>
      <c r="BH53" t="s">
        <v>426</v>
      </c>
      <c r="BI53" t="s">
        <v>156</v>
      </c>
      <c r="BJ53">
        <v>589</v>
      </c>
      <c r="BL53">
        <v>199</v>
      </c>
      <c r="BM53">
        <v>0</v>
      </c>
      <c r="BN53">
        <v>0</v>
      </c>
      <c r="BO53">
        <v>9.3592099999999998E-2</v>
      </c>
      <c r="BP53" t="s">
        <v>794</v>
      </c>
      <c r="BU53">
        <v>4</v>
      </c>
      <c r="BV53" t="s">
        <v>303</v>
      </c>
      <c r="CA53">
        <v>199</v>
      </c>
      <c r="CB53" t="s">
        <v>154</v>
      </c>
      <c r="CC53" t="s">
        <v>222</v>
      </c>
      <c r="CE53" t="s">
        <v>118</v>
      </c>
      <c r="CF53" t="s">
        <v>795</v>
      </c>
      <c r="CJ53" t="s">
        <v>270</v>
      </c>
      <c r="CK53" t="s">
        <v>112</v>
      </c>
    </row>
    <row r="54" spans="1:91" x14ac:dyDescent="0.3">
      <c r="A54" t="s">
        <v>796</v>
      </c>
      <c r="B54" t="s">
        <v>772</v>
      </c>
      <c r="C54" t="s">
        <v>772</v>
      </c>
      <c r="D54" t="s">
        <v>336</v>
      </c>
      <c r="E54" t="s">
        <v>93</v>
      </c>
      <c r="F54" t="s">
        <v>607</v>
      </c>
      <c r="G54" t="s">
        <v>608</v>
      </c>
      <c r="I54" t="s">
        <v>339</v>
      </c>
      <c r="K54" t="s">
        <v>797</v>
      </c>
      <c r="L54" t="s">
        <v>773</v>
      </c>
      <c r="M54" t="s">
        <v>341</v>
      </c>
      <c r="N54" t="s">
        <v>774</v>
      </c>
      <c r="O54" t="s">
        <v>96</v>
      </c>
      <c r="P54" t="s">
        <v>798</v>
      </c>
      <c r="Q54">
        <v>5260</v>
      </c>
      <c r="R54">
        <v>0</v>
      </c>
      <c r="S54">
        <v>383</v>
      </c>
      <c r="T54">
        <v>263</v>
      </c>
      <c r="U54">
        <v>5906</v>
      </c>
      <c r="V54">
        <v>75</v>
      </c>
      <c r="W54" t="s">
        <v>269</v>
      </c>
      <c r="X54" t="s">
        <v>97</v>
      </c>
      <c r="Y54" t="s">
        <v>772</v>
      </c>
      <c r="Z54" t="s">
        <v>659</v>
      </c>
      <c r="AB54" t="s">
        <v>99</v>
      </c>
      <c r="AC54" t="s">
        <v>141</v>
      </c>
      <c r="AD54" t="s">
        <v>799</v>
      </c>
      <c r="AE54">
        <v>6900149</v>
      </c>
      <c r="AF54" t="s">
        <v>100</v>
      </c>
      <c r="AG54" t="s">
        <v>115</v>
      </c>
      <c r="AH54" t="s">
        <v>102</v>
      </c>
      <c r="AI54" t="s">
        <v>103</v>
      </c>
      <c r="AJ54" t="s">
        <v>613</v>
      </c>
      <c r="AK54" t="s">
        <v>197</v>
      </c>
      <c r="AL54">
        <v>399</v>
      </c>
      <c r="AM54">
        <v>0</v>
      </c>
      <c r="AN54">
        <v>45055044</v>
      </c>
      <c r="AO54" t="s">
        <v>772</v>
      </c>
      <c r="AP54" t="s">
        <v>405</v>
      </c>
      <c r="AR54" t="s">
        <v>124</v>
      </c>
      <c r="AS54" t="s">
        <v>106</v>
      </c>
      <c r="AT54" t="s">
        <v>107</v>
      </c>
      <c r="AY54">
        <v>9899203334</v>
      </c>
      <c r="AZ54" t="s">
        <v>222</v>
      </c>
      <c r="BA54" t="s">
        <v>108</v>
      </c>
      <c r="BB54" t="s">
        <v>798</v>
      </c>
      <c r="BC54" t="s">
        <v>798</v>
      </c>
      <c r="BD54" t="s">
        <v>148</v>
      </c>
      <c r="BE54" t="s">
        <v>109</v>
      </c>
      <c r="BF54">
        <v>996425</v>
      </c>
      <c r="BG54" t="s">
        <v>383</v>
      </c>
      <c r="BH54" t="s">
        <v>426</v>
      </c>
      <c r="BI54" t="s">
        <v>156</v>
      </c>
      <c r="BJ54">
        <v>589</v>
      </c>
      <c r="BL54">
        <v>263</v>
      </c>
      <c r="BM54">
        <v>0</v>
      </c>
      <c r="BN54">
        <v>0</v>
      </c>
      <c r="BO54">
        <v>8.8497720000000002E-2</v>
      </c>
      <c r="BP54" t="s">
        <v>800</v>
      </c>
      <c r="BU54">
        <v>2</v>
      </c>
      <c r="BV54" t="s">
        <v>775</v>
      </c>
      <c r="CA54">
        <v>263</v>
      </c>
      <c r="CB54" t="s">
        <v>154</v>
      </c>
      <c r="CC54" t="s">
        <v>222</v>
      </c>
      <c r="CE54" t="s">
        <v>118</v>
      </c>
      <c r="CF54" t="s">
        <v>801</v>
      </c>
      <c r="CJ54" t="s">
        <v>270</v>
      </c>
      <c r="CK54" t="s">
        <v>112</v>
      </c>
    </row>
    <row r="55" spans="1:91" x14ac:dyDescent="0.3">
      <c r="A55" s="3" t="s">
        <v>802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>
        <f t="shared" ref="Q55:V55" si="0">SUM(Q4:Q54)</f>
        <v>426660</v>
      </c>
      <c r="R55" s="3">
        <f t="shared" si="0"/>
        <v>6723</v>
      </c>
      <c r="S55" s="3">
        <f t="shared" si="0"/>
        <v>38527</v>
      </c>
      <c r="T55" s="3">
        <f t="shared" si="0"/>
        <v>21333</v>
      </c>
      <c r="U55" s="4">
        <f t="shared" si="0"/>
        <v>493243</v>
      </c>
      <c r="V55" s="3">
        <f t="shared" si="0"/>
        <v>3600</v>
      </c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</row>
    <row r="58" spans="1:91" x14ac:dyDescent="0.3">
      <c r="B58" s="3" t="s">
        <v>803</v>
      </c>
      <c r="C58" s="2" t="s">
        <v>1381</v>
      </c>
    </row>
    <row r="59" spans="1:91" x14ac:dyDescent="0.3">
      <c r="B59" s="5"/>
      <c r="C59" s="5"/>
    </row>
    <row r="60" spans="1:91" x14ac:dyDescent="0.3">
      <c r="B60" s="3" t="s">
        <v>804</v>
      </c>
      <c r="C60" s="3">
        <f>U55</f>
        <v>493243</v>
      </c>
    </row>
    <row r="61" spans="1:91" x14ac:dyDescent="0.3">
      <c r="B61" s="5"/>
      <c r="C61" s="5"/>
    </row>
    <row r="62" spans="1:91" x14ac:dyDescent="0.3">
      <c r="B62" s="3" t="s">
        <v>805</v>
      </c>
      <c r="C62" s="3">
        <f>'MISCELLANEOUS DEBIT'!Q7</f>
        <v>1628</v>
      </c>
    </row>
    <row r="63" spans="1:91" x14ac:dyDescent="0.3">
      <c r="B63" s="5"/>
      <c r="C63" s="5"/>
    </row>
    <row r="64" spans="1:91" x14ac:dyDescent="0.3">
      <c r="B64" s="3" t="s">
        <v>806</v>
      </c>
      <c r="C64" s="3">
        <f>'RAIL DEBIT'!O18</f>
        <v>15901</v>
      </c>
    </row>
    <row r="65" spans="2:4" x14ac:dyDescent="0.3">
      <c r="B65" s="5"/>
      <c r="C65" s="5"/>
    </row>
    <row r="66" spans="2:4" x14ac:dyDescent="0.3">
      <c r="B66" s="3" t="s">
        <v>807</v>
      </c>
      <c r="C66" s="3">
        <f>'BUS DEBIT'!M5</f>
        <v>1470</v>
      </c>
    </row>
    <row r="67" spans="2:4" x14ac:dyDescent="0.3">
      <c r="B67" s="5"/>
      <c r="C67" s="5"/>
    </row>
    <row r="68" spans="2:4" x14ac:dyDescent="0.3">
      <c r="B68" s="3" t="s">
        <v>808</v>
      </c>
      <c r="C68" s="3">
        <f>'HOTEL DEBIT'!W29</f>
        <v>196377</v>
      </c>
    </row>
    <row r="69" spans="2:4" x14ac:dyDescent="0.3">
      <c r="B69" s="5"/>
      <c r="C69" s="5"/>
    </row>
    <row r="70" spans="2:4" x14ac:dyDescent="0.3">
      <c r="B70" s="3" t="s">
        <v>809</v>
      </c>
      <c r="C70" s="3">
        <f>'DOMESTIC CREDIT'!X15</f>
        <v>116382</v>
      </c>
    </row>
    <row r="71" spans="2:4" x14ac:dyDescent="0.3">
      <c r="B71" s="5"/>
      <c r="C71" s="5"/>
    </row>
    <row r="72" spans="2:4" x14ac:dyDescent="0.3">
      <c r="B72" s="3" t="s">
        <v>810</v>
      </c>
      <c r="C72" s="3">
        <f>'RAIL CREDIT'!R5</f>
        <v>995</v>
      </c>
    </row>
    <row r="73" spans="2:4" x14ac:dyDescent="0.3">
      <c r="B73" s="5"/>
      <c r="C73" s="5"/>
    </row>
    <row r="74" spans="2:4" x14ac:dyDescent="0.3">
      <c r="B74" s="3" t="s">
        <v>811</v>
      </c>
      <c r="C74" s="3">
        <f>'HOTEL CREDIT'!S6</f>
        <v>15960</v>
      </c>
    </row>
    <row r="75" spans="2:4" x14ac:dyDescent="0.3">
      <c r="B75" s="5"/>
      <c r="C75" s="5"/>
    </row>
    <row r="76" spans="2:4" x14ac:dyDescent="0.3">
      <c r="B76" s="3" t="s">
        <v>1382</v>
      </c>
      <c r="C76" s="3">
        <v>7658</v>
      </c>
      <c r="D76" t="s">
        <v>1383</v>
      </c>
    </row>
    <row r="77" spans="2:4" x14ac:dyDescent="0.3">
      <c r="B77" s="5"/>
      <c r="C77" s="5"/>
    </row>
    <row r="78" spans="2:4" x14ac:dyDescent="0.3">
      <c r="B78" s="3" t="s">
        <v>812</v>
      </c>
      <c r="C78" s="4">
        <f>SUM(C60:C69)-SUM(C70:C75)+C76</f>
        <v>582940</v>
      </c>
      <c r="D78" s="6"/>
    </row>
  </sheetData>
  <sheetProtection formatCells="0" formatColumns="0" formatRows="0" insertColumns="0" insertRows="0" insertHyperlinks="0" deleteColumns="0" deleteRows="0" sort="0" autoFilter="0" pivotTables="0"/>
  <autoFilter ref="A3:CM55" xr:uid="{A059FF47-D933-4745-BC85-F397087C7323}"/>
  <conditionalFormatting sqref="A1:A1048576">
    <cfRule type="duplicateValues" dxfId="9" priority="14" stopIfTrue="1"/>
  </conditionalFormatting>
  <pageMargins left="0.7" right="0.7" top="0.75" bottom="0.75" header="0.3" footer="0.3"/>
  <pageSetup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55CD7-9C2C-45BE-98A8-5E995B82D526}">
  <dimension ref="A1:BM7"/>
  <sheetViews>
    <sheetView showRuler="0" zoomScaleNormal="100" workbookViewId="0">
      <selection activeCell="A4" sqref="A4"/>
    </sheetView>
  </sheetViews>
  <sheetFormatPr defaultRowHeight="14.4" x14ac:dyDescent="0.3"/>
  <cols>
    <col min="1" max="1" width="15" customWidth="1"/>
    <col min="2" max="2" width="17.5546875" customWidth="1"/>
    <col min="3" max="3" width="15.33203125" customWidth="1"/>
    <col min="4" max="4" width="34.109375" customWidth="1"/>
    <col min="5" max="5" width="28.109375" customWidth="1"/>
    <col min="6" max="6" width="22.21875" customWidth="1"/>
    <col min="7" max="7" width="16.44140625" customWidth="1"/>
    <col min="8" max="8" width="14" customWidth="1"/>
    <col min="9" max="9" width="12.88671875" customWidth="1"/>
    <col min="10" max="10" width="15.33203125" customWidth="1"/>
    <col min="11" max="11" width="27" customWidth="1"/>
    <col min="12" max="12" width="24.6640625" customWidth="1"/>
    <col min="13" max="13" width="20" customWidth="1"/>
    <col min="14" max="14" width="12.88671875" customWidth="1"/>
    <col min="15" max="15" width="9.33203125" customWidth="1"/>
    <col min="16" max="16" width="15.33203125" customWidth="1"/>
    <col min="17" max="17" width="12.88671875" customWidth="1"/>
    <col min="18" max="18" width="25.88671875" customWidth="1"/>
    <col min="19" max="19" width="53" customWidth="1"/>
    <col min="20" max="20" width="31.6640625" customWidth="1"/>
    <col min="21" max="21" width="42.44140625" customWidth="1"/>
    <col min="22" max="22" width="16.44140625" customWidth="1"/>
    <col min="23" max="23" width="15.33203125" customWidth="1"/>
    <col min="24" max="24" width="27" customWidth="1"/>
    <col min="25" max="25" width="40" customWidth="1"/>
    <col min="26" max="26" width="25.88671875" customWidth="1"/>
    <col min="27" max="27" width="17.5546875" customWidth="1"/>
    <col min="28" max="28" width="37.6640625" customWidth="1"/>
    <col min="29" max="29" width="18.6640625" customWidth="1"/>
    <col min="30" max="30" width="17.5546875" customWidth="1"/>
    <col min="31" max="31" width="11.6640625" customWidth="1"/>
    <col min="32" max="32" width="33" customWidth="1"/>
    <col min="33" max="33" width="15.33203125" customWidth="1"/>
    <col min="34" max="35" width="3.44140625" customWidth="1"/>
    <col min="36" max="36" width="14" customWidth="1"/>
    <col min="37" max="38" width="24.6640625" customWidth="1"/>
    <col min="39" max="39" width="40" customWidth="1"/>
    <col min="40" max="40" width="11.6640625" customWidth="1"/>
    <col min="41" max="41" width="71.88671875" customWidth="1"/>
    <col min="42" max="42" width="17.5546875" customWidth="1"/>
    <col min="43" max="43" width="24.6640625" customWidth="1"/>
    <col min="44" max="44" width="27" customWidth="1"/>
    <col min="45" max="46" width="24.6640625" customWidth="1"/>
    <col min="47" max="47" width="14" customWidth="1"/>
    <col min="48" max="48" width="18.6640625" customWidth="1"/>
    <col min="49" max="49" width="11.6640625" customWidth="1"/>
    <col min="50" max="50" width="15.33203125" customWidth="1"/>
    <col min="51" max="51" width="16.44140625" customWidth="1"/>
    <col min="52" max="52" width="27" customWidth="1"/>
    <col min="53" max="53" width="9.33203125" customWidth="1"/>
    <col min="54" max="54" width="10.5546875" customWidth="1"/>
    <col min="55" max="55" width="20" customWidth="1"/>
    <col min="56" max="56" width="7" customWidth="1"/>
    <col min="57" max="57" width="18.6640625" customWidth="1"/>
    <col min="58" max="58" width="14" customWidth="1"/>
    <col min="59" max="59" width="9.33203125" customWidth="1"/>
    <col min="60" max="60" width="10.5546875" customWidth="1"/>
    <col min="61" max="61" width="50.5546875" customWidth="1"/>
    <col min="62" max="62" width="35.21875" customWidth="1"/>
    <col min="63" max="63" width="12.88671875" customWidth="1"/>
    <col min="64" max="64" width="38.88671875" customWidth="1"/>
    <col min="65" max="65" width="23.44140625" customWidth="1"/>
  </cols>
  <sheetData>
    <row r="1" spans="1:65" x14ac:dyDescent="0.3">
      <c r="A1" s="1" t="s">
        <v>813</v>
      </c>
    </row>
    <row r="3" spans="1:65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21</v>
      </c>
      <c r="R3" s="2" t="s">
        <v>22</v>
      </c>
      <c r="S3" s="2" t="s">
        <v>23</v>
      </c>
      <c r="T3" s="2" t="s">
        <v>24</v>
      </c>
      <c r="U3" s="2" t="s">
        <v>25</v>
      </c>
      <c r="V3" s="2" t="s">
        <v>26</v>
      </c>
      <c r="W3" s="2" t="s">
        <v>27</v>
      </c>
      <c r="X3" s="2" t="s">
        <v>28</v>
      </c>
      <c r="Y3" s="2" t="s">
        <v>29</v>
      </c>
      <c r="Z3" s="2" t="s">
        <v>30</v>
      </c>
      <c r="AA3" s="2" t="s">
        <v>31</v>
      </c>
      <c r="AB3" s="2" t="s">
        <v>32</v>
      </c>
      <c r="AC3" s="2" t="s">
        <v>33</v>
      </c>
      <c r="AD3" s="2" t="s">
        <v>34</v>
      </c>
      <c r="AE3" s="2" t="s">
        <v>35</v>
      </c>
      <c r="AF3" s="2" t="s">
        <v>36</v>
      </c>
      <c r="AG3" s="2" t="s">
        <v>37</v>
      </c>
      <c r="AH3" s="2" t="s">
        <v>38</v>
      </c>
      <c r="AI3" s="2" t="s">
        <v>39</v>
      </c>
      <c r="AJ3" s="2" t="s">
        <v>40</v>
      </c>
      <c r="AK3" s="2" t="s">
        <v>41</v>
      </c>
      <c r="AL3" s="2" t="s">
        <v>42</v>
      </c>
      <c r="AM3" s="2" t="s">
        <v>43</v>
      </c>
      <c r="AN3" s="2" t="s">
        <v>44</v>
      </c>
      <c r="AO3" s="2" t="s">
        <v>45</v>
      </c>
      <c r="AP3" s="2" t="s">
        <v>46</v>
      </c>
      <c r="AQ3" s="2" t="s">
        <v>47</v>
      </c>
      <c r="AR3" s="2" t="s">
        <v>48</v>
      </c>
      <c r="AS3" s="2" t="s">
        <v>49</v>
      </c>
      <c r="AT3" s="2" t="s">
        <v>50</v>
      </c>
      <c r="AU3" s="2" t="s">
        <v>51</v>
      </c>
      <c r="AV3" s="2" t="s">
        <v>52</v>
      </c>
      <c r="AW3" s="2" t="s">
        <v>53</v>
      </c>
      <c r="AX3" s="2" t="s">
        <v>477</v>
      </c>
      <c r="AY3" s="2" t="s">
        <v>814</v>
      </c>
      <c r="AZ3" s="2" t="s">
        <v>815</v>
      </c>
      <c r="BA3" s="2" t="s">
        <v>56</v>
      </c>
      <c r="BB3" s="2" t="s">
        <v>58</v>
      </c>
      <c r="BC3" s="2" t="s">
        <v>59</v>
      </c>
      <c r="BD3" s="2" t="s">
        <v>70</v>
      </c>
      <c r="BE3" s="2" t="s">
        <v>71</v>
      </c>
      <c r="BF3" s="2" t="s">
        <v>75</v>
      </c>
      <c r="BG3" s="2" t="s">
        <v>76</v>
      </c>
      <c r="BH3" s="2" t="s">
        <v>77</v>
      </c>
      <c r="BI3" s="2" t="s">
        <v>80</v>
      </c>
      <c r="BJ3" s="2" t="s">
        <v>81</v>
      </c>
      <c r="BK3" s="2" t="s">
        <v>85</v>
      </c>
      <c r="BL3" s="2" t="s">
        <v>816</v>
      </c>
      <c r="BM3" s="2" t="s">
        <v>817</v>
      </c>
    </row>
    <row r="4" spans="1:65" x14ac:dyDescent="0.3">
      <c r="A4" t="s">
        <v>825</v>
      </c>
      <c r="B4" t="s">
        <v>439</v>
      </c>
      <c r="C4" t="s">
        <v>818</v>
      </c>
      <c r="D4" t="s">
        <v>210</v>
      </c>
      <c r="E4" t="s">
        <v>93</v>
      </c>
      <c r="F4" t="s">
        <v>826</v>
      </c>
      <c r="G4" t="s">
        <v>224</v>
      </c>
      <c r="H4">
        <v>3701618</v>
      </c>
      <c r="I4" t="s">
        <v>213</v>
      </c>
      <c r="K4" t="s">
        <v>823</v>
      </c>
      <c r="L4" t="s">
        <v>286</v>
      </c>
      <c r="M4" t="s">
        <v>122</v>
      </c>
      <c r="N4" t="s">
        <v>442</v>
      </c>
      <c r="O4" t="s">
        <v>96</v>
      </c>
      <c r="P4" t="s">
        <v>443</v>
      </c>
      <c r="Q4">
        <v>428</v>
      </c>
      <c r="R4">
        <v>80</v>
      </c>
      <c r="S4" t="s">
        <v>819</v>
      </c>
      <c r="T4" t="s">
        <v>97</v>
      </c>
      <c r="U4" t="s">
        <v>820</v>
      </c>
      <c r="W4" t="s">
        <v>98</v>
      </c>
      <c r="X4" t="s">
        <v>99</v>
      </c>
      <c r="Y4" t="s">
        <v>821</v>
      </c>
      <c r="Z4" t="s">
        <v>445</v>
      </c>
      <c r="AA4">
        <v>1388087</v>
      </c>
      <c r="AB4" t="s">
        <v>421</v>
      </c>
      <c r="AC4" t="s">
        <v>101</v>
      </c>
      <c r="AD4" t="s">
        <v>102</v>
      </c>
      <c r="AE4" t="s">
        <v>196</v>
      </c>
      <c r="AF4" t="s">
        <v>422</v>
      </c>
      <c r="AG4" t="s">
        <v>187</v>
      </c>
      <c r="AH4">
        <v>0</v>
      </c>
      <c r="AI4">
        <v>0</v>
      </c>
      <c r="AJ4">
        <v>44806175</v>
      </c>
      <c r="AK4" t="s">
        <v>404</v>
      </c>
      <c r="AL4" t="s">
        <v>242</v>
      </c>
      <c r="AN4" t="s">
        <v>105</v>
      </c>
      <c r="AO4" t="s">
        <v>106</v>
      </c>
      <c r="AP4" t="s">
        <v>107</v>
      </c>
      <c r="AU4">
        <v>9971252225</v>
      </c>
      <c r="AV4" t="s">
        <v>222</v>
      </c>
      <c r="AW4" t="s">
        <v>108</v>
      </c>
      <c r="AX4" t="s">
        <v>822</v>
      </c>
      <c r="AY4" t="s">
        <v>440</v>
      </c>
      <c r="AZ4" t="s">
        <v>820</v>
      </c>
      <c r="BA4" t="s">
        <v>148</v>
      </c>
      <c r="BB4">
        <v>9963</v>
      </c>
      <c r="BC4" t="s">
        <v>824</v>
      </c>
      <c r="BI4" t="s">
        <v>154</v>
      </c>
      <c r="BJ4" t="s">
        <v>222</v>
      </c>
      <c r="BL4" t="s">
        <v>270</v>
      </c>
      <c r="BM4" t="s">
        <v>112</v>
      </c>
    </row>
    <row r="5" spans="1:65" x14ac:dyDescent="0.3">
      <c r="A5" t="s">
        <v>832</v>
      </c>
      <c r="B5" t="s">
        <v>404</v>
      </c>
      <c r="C5" t="s">
        <v>829</v>
      </c>
      <c r="D5" t="s">
        <v>210</v>
      </c>
      <c r="E5" t="s">
        <v>93</v>
      </c>
      <c r="F5" t="s">
        <v>833</v>
      </c>
      <c r="G5" t="s">
        <v>224</v>
      </c>
      <c r="H5">
        <v>3701618</v>
      </c>
      <c r="I5" t="s">
        <v>213</v>
      </c>
      <c r="K5" t="s">
        <v>834</v>
      </c>
      <c r="L5" t="s">
        <v>273</v>
      </c>
      <c r="M5" t="s">
        <v>830</v>
      </c>
      <c r="N5" t="s">
        <v>835</v>
      </c>
      <c r="O5" t="s">
        <v>96</v>
      </c>
      <c r="P5">
        <v>1946780348</v>
      </c>
      <c r="Q5">
        <v>975</v>
      </c>
      <c r="R5">
        <v>80</v>
      </c>
      <c r="S5" t="s">
        <v>836</v>
      </c>
      <c r="T5" t="s">
        <v>837</v>
      </c>
      <c r="U5" t="s">
        <v>838</v>
      </c>
      <c r="W5" t="s">
        <v>98</v>
      </c>
      <c r="X5" t="s">
        <v>99</v>
      </c>
      <c r="Y5" t="s">
        <v>821</v>
      </c>
      <c r="Z5" t="s">
        <v>432</v>
      </c>
      <c r="AA5">
        <v>1388087</v>
      </c>
      <c r="AB5" t="s">
        <v>421</v>
      </c>
      <c r="AC5" t="s">
        <v>115</v>
      </c>
      <c r="AD5" t="s">
        <v>102</v>
      </c>
      <c r="AE5" t="s">
        <v>196</v>
      </c>
      <c r="AF5" t="s">
        <v>422</v>
      </c>
      <c r="AH5">
        <v>0</v>
      </c>
      <c r="AI5">
        <v>0</v>
      </c>
      <c r="AJ5">
        <v>44798324</v>
      </c>
      <c r="AK5" t="s">
        <v>404</v>
      </c>
      <c r="AL5" t="s">
        <v>423</v>
      </c>
      <c r="AN5" t="s">
        <v>105</v>
      </c>
      <c r="AO5" t="s">
        <v>106</v>
      </c>
      <c r="AP5" t="s">
        <v>107</v>
      </c>
      <c r="AU5">
        <v>9971252225</v>
      </c>
      <c r="AV5" t="s">
        <v>222</v>
      </c>
      <c r="AW5" t="s">
        <v>108</v>
      </c>
      <c r="AY5" t="s">
        <v>429</v>
      </c>
      <c r="AZ5" t="s">
        <v>820</v>
      </c>
      <c r="BA5" t="s">
        <v>148</v>
      </c>
      <c r="BB5">
        <v>9963</v>
      </c>
      <c r="BC5" t="s">
        <v>839</v>
      </c>
      <c r="BI5" t="s">
        <v>154</v>
      </c>
      <c r="BJ5" t="s">
        <v>222</v>
      </c>
      <c r="BL5" t="s">
        <v>840</v>
      </c>
      <c r="BM5" t="s">
        <v>841</v>
      </c>
    </row>
    <row r="6" spans="1:65" x14ac:dyDescent="0.3">
      <c r="A6" t="s">
        <v>845</v>
      </c>
      <c r="B6" t="s">
        <v>708</v>
      </c>
      <c r="C6" t="s">
        <v>846</v>
      </c>
      <c r="D6" t="s">
        <v>210</v>
      </c>
      <c r="E6" t="s">
        <v>93</v>
      </c>
      <c r="F6" t="s">
        <v>833</v>
      </c>
      <c r="G6" t="s">
        <v>224</v>
      </c>
      <c r="H6">
        <v>3701618</v>
      </c>
      <c r="I6" t="s">
        <v>213</v>
      </c>
      <c r="K6" t="s">
        <v>847</v>
      </c>
      <c r="L6" t="s">
        <v>255</v>
      </c>
      <c r="M6" t="s">
        <v>830</v>
      </c>
      <c r="N6" t="s">
        <v>848</v>
      </c>
      <c r="O6" t="s">
        <v>96</v>
      </c>
      <c r="P6">
        <v>1946816928</v>
      </c>
      <c r="Q6">
        <v>225</v>
      </c>
      <c r="R6">
        <v>80</v>
      </c>
      <c r="S6" t="s">
        <v>819</v>
      </c>
      <c r="T6" t="s">
        <v>97</v>
      </c>
      <c r="U6" t="s">
        <v>710</v>
      </c>
      <c r="W6" t="s">
        <v>98</v>
      </c>
      <c r="X6" t="s">
        <v>99</v>
      </c>
      <c r="Y6" t="s">
        <v>821</v>
      </c>
      <c r="Z6" t="s">
        <v>723</v>
      </c>
      <c r="AA6">
        <v>1388087</v>
      </c>
      <c r="AB6" t="s">
        <v>421</v>
      </c>
      <c r="AC6" t="s">
        <v>101</v>
      </c>
      <c r="AD6" t="s">
        <v>102</v>
      </c>
      <c r="AE6" t="s">
        <v>196</v>
      </c>
      <c r="AF6" t="s">
        <v>422</v>
      </c>
      <c r="AH6">
        <v>0</v>
      </c>
      <c r="AI6">
        <v>0</v>
      </c>
      <c r="AJ6">
        <v>44990409</v>
      </c>
      <c r="AK6" t="s">
        <v>710</v>
      </c>
      <c r="AL6" t="s">
        <v>724</v>
      </c>
      <c r="AN6" t="s">
        <v>105</v>
      </c>
      <c r="AO6" t="s">
        <v>106</v>
      </c>
      <c r="AP6" t="s">
        <v>107</v>
      </c>
      <c r="AU6">
        <v>9971252225</v>
      </c>
      <c r="AV6" t="s">
        <v>222</v>
      </c>
      <c r="AW6" t="s">
        <v>108</v>
      </c>
      <c r="AY6" t="s">
        <v>719</v>
      </c>
      <c r="AZ6" t="s">
        <v>828</v>
      </c>
      <c r="BA6" t="s">
        <v>148</v>
      </c>
      <c r="BB6">
        <v>9963</v>
      </c>
      <c r="BC6" t="s">
        <v>849</v>
      </c>
      <c r="BI6" t="s">
        <v>154</v>
      </c>
      <c r="BJ6" t="s">
        <v>222</v>
      </c>
      <c r="BL6" t="s">
        <v>270</v>
      </c>
      <c r="BM6" t="s">
        <v>112</v>
      </c>
    </row>
    <row r="7" spans="1:65" x14ac:dyDescent="0.3">
      <c r="A7" s="3" t="s">
        <v>802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4">
        <f>SUM(Q4:Q6)</f>
        <v>1628</v>
      </c>
      <c r="R7" s="3">
        <f>SUM(R4:R6)</f>
        <v>240</v>
      </c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</row>
  </sheetData>
  <sheetProtection formatCells="0" formatColumns="0" formatRows="0" insertColumns="0" insertRows="0" insertHyperlinks="0" deleteColumns="0" deleteRows="0" sort="0" autoFilter="0" pivotTables="0"/>
  <autoFilter ref="A3:CN7" xr:uid="{58C55CD7-9C2C-45BE-98A8-5E995B82D526}"/>
  <pageMargins left="0.7" right="0.7" top="0.75" bottom="0.75" header="0.3" footer="0.3"/>
  <pageSetup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EF44D-20C7-4939-8C3A-C6292247F883}">
  <dimension ref="A1:BJ18"/>
  <sheetViews>
    <sheetView showRuler="0" topLeftCell="D1" zoomScaleNormal="100" workbookViewId="0">
      <selection activeCell="O4" sqref="O4:O17"/>
    </sheetView>
  </sheetViews>
  <sheetFormatPr defaultRowHeight="14.4" x14ac:dyDescent="0.3"/>
  <cols>
    <col min="1" max="1" width="15" customWidth="1"/>
    <col min="2" max="2" width="17.5546875" customWidth="1"/>
    <col min="3" max="3" width="15.33203125" customWidth="1"/>
    <col min="4" max="4" width="37.6640625" customWidth="1"/>
    <col min="5" max="5" width="28.109375" customWidth="1"/>
    <col min="6" max="6" width="34.109375" customWidth="1"/>
    <col min="7" max="7" width="16.44140625" customWidth="1"/>
    <col min="8" max="8" width="14" customWidth="1"/>
    <col min="9" max="9" width="12.88671875" customWidth="1"/>
    <col min="10" max="10" width="14" customWidth="1"/>
    <col min="11" max="11" width="56.5546875" customWidth="1"/>
    <col min="12" max="12" width="20" customWidth="1"/>
    <col min="13" max="13" width="7" customWidth="1"/>
    <col min="14" max="15" width="12.88671875" customWidth="1"/>
    <col min="16" max="16" width="25.88671875" customWidth="1"/>
    <col min="17" max="17" width="50.5546875" customWidth="1"/>
    <col min="18" max="18" width="18.6640625" customWidth="1"/>
    <col min="19" max="19" width="27" customWidth="1"/>
    <col min="20" max="20" width="51.88671875" customWidth="1"/>
    <col min="21" max="21" width="25.88671875" customWidth="1"/>
    <col min="22" max="22" width="17.5546875" customWidth="1"/>
    <col min="23" max="23" width="22.21875" customWidth="1"/>
    <col min="24" max="24" width="44.6640625" customWidth="1"/>
    <col min="25" max="25" width="16.44140625" customWidth="1"/>
    <col min="26" max="26" width="14" customWidth="1"/>
    <col min="27" max="27" width="27" customWidth="1"/>
    <col min="28" max="28" width="115.5546875" customWidth="1"/>
    <col min="29" max="29" width="14" customWidth="1"/>
    <col min="30" max="30" width="15.33203125" customWidth="1"/>
    <col min="31" max="31" width="60.109375" customWidth="1"/>
    <col min="32" max="32" width="17.5546875" customWidth="1"/>
    <col min="33" max="33" width="9.33203125" customWidth="1"/>
    <col min="34" max="34" width="12.88671875" customWidth="1"/>
    <col min="35" max="35" width="4.5546875" customWidth="1"/>
    <col min="36" max="36" width="16.44140625" customWidth="1"/>
    <col min="37" max="37" width="21.109375" customWidth="1"/>
    <col min="38" max="38" width="17.5546875" customWidth="1"/>
    <col min="39" max="39" width="18.6640625" customWidth="1"/>
    <col min="40" max="40" width="10.5546875" customWidth="1"/>
    <col min="41" max="41" width="14" customWidth="1"/>
    <col min="42" max="42" width="9.33203125" customWidth="1"/>
    <col min="43" max="43" width="10.5546875" customWidth="1"/>
    <col min="44" max="44" width="51.88671875" customWidth="1"/>
    <col min="45" max="45" width="35.21875" customWidth="1"/>
    <col min="46" max="46" width="27" customWidth="1"/>
    <col min="47" max="47" width="8.109375" customWidth="1"/>
    <col min="48" max="48" width="22.21875" customWidth="1"/>
    <col min="49" max="49" width="21.109375" customWidth="1"/>
    <col min="50" max="50" width="20" customWidth="1"/>
    <col min="51" max="51" width="14" customWidth="1"/>
    <col min="52" max="52" width="11.6640625" customWidth="1"/>
    <col min="53" max="53" width="10.5546875" customWidth="1"/>
    <col min="54" max="54" width="17.5546875" customWidth="1"/>
    <col min="55" max="55" width="16.44140625" customWidth="1"/>
    <col min="56" max="56" width="11.6640625" customWidth="1"/>
    <col min="57" max="58" width="21.109375" customWidth="1"/>
    <col min="59" max="59" width="12.88671875" customWidth="1"/>
    <col min="60" max="60" width="17.5546875" customWidth="1"/>
    <col min="61" max="61" width="25.88671875" customWidth="1"/>
    <col min="62" max="62" width="18.6640625" customWidth="1"/>
  </cols>
  <sheetData>
    <row r="1" spans="1:62" x14ac:dyDescent="0.3">
      <c r="A1" s="1" t="s">
        <v>856</v>
      </c>
    </row>
    <row r="3" spans="1:62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11</v>
      </c>
      <c r="K3" s="2" t="s">
        <v>12</v>
      </c>
      <c r="L3" s="2" t="s">
        <v>857</v>
      </c>
      <c r="M3" s="2" t="s">
        <v>15</v>
      </c>
      <c r="N3" s="2" t="s">
        <v>858</v>
      </c>
      <c r="O3" s="2" t="s">
        <v>21</v>
      </c>
      <c r="P3" s="2" t="s">
        <v>22</v>
      </c>
      <c r="Q3" s="2" t="s">
        <v>23</v>
      </c>
      <c r="R3" s="2" t="s">
        <v>24</v>
      </c>
      <c r="S3" s="2" t="s">
        <v>28</v>
      </c>
      <c r="T3" s="2" t="s">
        <v>29</v>
      </c>
      <c r="U3" s="2" t="s">
        <v>30</v>
      </c>
      <c r="V3" s="2" t="s">
        <v>31</v>
      </c>
      <c r="W3" s="2" t="s">
        <v>859</v>
      </c>
      <c r="X3" s="2" t="s">
        <v>860</v>
      </c>
      <c r="Y3" s="2" t="s">
        <v>861</v>
      </c>
      <c r="Z3" s="2" t="s">
        <v>40</v>
      </c>
      <c r="AA3" s="2" t="s">
        <v>41</v>
      </c>
      <c r="AB3" s="2" t="s">
        <v>45</v>
      </c>
      <c r="AC3" s="2" t="s">
        <v>862</v>
      </c>
      <c r="AD3" s="2" t="s">
        <v>863</v>
      </c>
      <c r="AE3" s="2" t="s">
        <v>43</v>
      </c>
      <c r="AF3" s="2" t="s">
        <v>864</v>
      </c>
      <c r="AG3" s="2" t="s">
        <v>56</v>
      </c>
      <c r="AH3" s="2" t="s">
        <v>35</v>
      </c>
      <c r="AI3" s="2" t="s">
        <v>865</v>
      </c>
      <c r="AJ3" s="2" t="s">
        <v>63</v>
      </c>
      <c r="AK3" s="2" t="s">
        <v>866</v>
      </c>
      <c r="AL3" s="2" t="s">
        <v>70</v>
      </c>
      <c r="AM3" s="2" t="s">
        <v>71</v>
      </c>
      <c r="AN3" s="2" t="s">
        <v>72</v>
      </c>
      <c r="AO3" s="2" t="s">
        <v>853</v>
      </c>
      <c r="AP3" s="2" t="s">
        <v>76</v>
      </c>
      <c r="AQ3" s="2" t="s">
        <v>77</v>
      </c>
      <c r="AR3" s="2" t="s">
        <v>80</v>
      </c>
      <c r="AS3" s="2" t="s">
        <v>81</v>
      </c>
      <c r="AT3" s="2" t="s">
        <v>82</v>
      </c>
      <c r="AU3" s="2" t="s">
        <v>83</v>
      </c>
      <c r="AV3" s="2" t="s">
        <v>84</v>
      </c>
      <c r="AW3" s="2" t="s">
        <v>867</v>
      </c>
      <c r="AX3" s="2" t="s">
        <v>868</v>
      </c>
      <c r="AY3" s="2" t="s">
        <v>869</v>
      </c>
      <c r="AZ3" s="2" t="s">
        <v>870</v>
      </c>
      <c r="BA3" s="2" t="s">
        <v>871</v>
      </c>
      <c r="BB3" s="2" t="s">
        <v>872</v>
      </c>
      <c r="BC3" s="2" t="s">
        <v>873</v>
      </c>
      <c r="BD3" s="2" t="s">
        <v>874</v>
      </c>
      <c r="BE3" s="2" t="s">
        <v>875</v>
      </c>
      <c r="BF3" s="2" t="s">
        <v>876</v>
      </c>
      <c r="BG3" s="2" t="s">
        <v>85</v>
      </c>
      <c r="BH3" s="2" t="s">
        <v>877</v>
      </c>
      <c r="BI3" s="2" t="s">
        <v>878</v>
      </c>
      <c r="BJ3" s="2" t="s">
        <v>879</v>
      </c>
    </row>
    <row r="4" spans="1:62" x14ac:dyDescent="0.3">
      <c r="A4" t="s">
        <v>884</v>
      </c>
      <c r="B4" t="s">
        <v>92</v>
      </c>
      <c r="C4" t="s">
        <v>92</v>
      </c>
      <c r="D4" t="s">
        <v>210</v>
      </c>
      <c r="E4" t="s">
        <v>93</v>
      </c>
      <c r="F4" t="s">
        <v>885</v>
      </c>
      <c r="G4" t="s">
        <v>886</v>
      </c>
      <c r="H4">
        <v>3701618</v>
      </c>
      <c r="I4" t="s">
        <v>213</v>
      </c>
      <c r="J4" t="s">
        <v>114</v>
      </c>
      <c r="K4" t="s">
        <v>887</v>
      </c>
      <c r="L4" t="s">
        <v>888</v>
      </c>
      <c r="M4" t="s">
        <v>889</v>
      </c>
      <c r="N4">
        <v>8152258307</v>
      </c>
      <c r="O4">
        <v>1462</v>
      </c>
      <c r="P4">
        <v>300</v>
      </c>
      <c r="Q4" t="s">
        <v>826</v>
      </c>
      <c r="R4" t="s">
        <v>97</v>
      </c>
      <c r="S4" t="s">
        <v>99</v>
      </c>
      <c r="T4" t="s">
        <v>141</v>
      </c>
      <c r="U4" t="s">
        <v>890</v>
      </c>
      <c r="V4" t="s">
        <v>106</v>
      </c>
      <c r="W4" t="s">
        <v>891</v>
      </c>
      <c r="X4" t="s">
        <v>881</v>
      </c>
      <c r="Y4" t="s">
        <v>524</v>
      </c>
      <c r="Z4">
        <v>44714065</v>
      </c>
      <c r="AA4" t="s">
        <v>892</v>
      </c>
      <c r="AB4" t="s">
        <v>106</v>
      </c>
      <c r="AC4" t="s">
        <v>882</v>
      </c>
      <c r="AD4" t="s">
        <v>893</v>
      </c>
      <c r="AE4" t="s">
        <v>883</v>
      </c>
      <c r="AF4" t="s">
        <v>108</v>
      </c>
      <c r="AG4" t="s">
        <v>148</v>
      </c>
      <c r="AH4" t="s">
        <v>190</v>
      </c>
      <c r="AI4">
        <v>462</v>
      </c>
      <c r="AK4" t="s">
        <v>109</v>
      </c>
      <c r="AR4" t="s">
        <v>154</v>
      </c>
      <c r="AS4" t="s">
        <v>222</v>
      </c>
      <c r="AU4" t="s">
        <v>111</v>
      </c>
      <c r="AV4" t="s">
        <v>894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H4" t="s">
        <v>196</v>
      </c>
      <c r="BI4" t="s">
        <v>224</v>
      </c>
      <c r="BJ4" t="s">
        <v>222</v>
      </c>
    </row>
    <row r="5" spans="1:62" x14ac:dyDescent="0.3">
      <c r="A5" t="s">
        <v>899</v>
      </c>
      <c r="B5" t="s">
        <v>114</v>
      </c>
      <c r="C5" t="s">
        <v>114</v>
      </c>
      <c r="D5" t="s">
        <v>336</v>
      </c>
      <c r="E5" t="s">
        <v>93</v>
      </c>
      <c r="F5" t="s">
        <v>777</v>
      </c>
      <c r="G5" t="s">
        <v>778</v>
      </c>
      <c r="I5" t="s">
        <v>339</v>
      </c>
      <c r="J5" t="s">
        <v>293</v>
      </c>
      <c r="K5" t="s">
        <v>900</v>
      </c>
      <c r="L5" t="s">
        <v>901</v>
      </c>
      <c r="M5" t="s">
        <v>889</v>
      </c>
      <c r="N5">
        <v>8833051579</v>
      </c>
      <c r="O5">
        <v>1193</v>
      </c>
      <c r="P5">
        <v>300</v>
      </c>
      <c r="Q5" t="s">
        <v>617</v>
      </c>
      <c r="R5" t="s">
        <v>97</v>
      </c>
      <c r="S5" t="s">
        <v>99</v>
      </c>
      <c r="T5" t="s">
        <v>141</v>
      </c>
      <c r="U5" t="s">
        <v>902</v>
      </c>
      <c r="V5" t="s">
        <v>106</v>
      </c>
      <c r="W5" t="s">
        <v>903</v>
      </c>
      <c r="X5" t="s">
        <v>904</v>
      </c>
      <c r="Y5" t="s">
        <v>524</v>
      </c>
      <c r="Z5">
        <v>44666082</v>
      </c>
      <c r="AA5" t="s">
        <v>905</v>
      </c>
      <c r="AB5" t="s">
        <v>106</v>
      </c>
      <c r="AC5" t="s">
        <v>882</v>
      </c>
      <c r="AD5" t="s">
        <v>906</v>
      </c>
      <c r="AE5" t="s">
        <v>883</v>
      </c>
      <c r="AF5" t="s">
        <v>108</v>
      </c>
      <c r="AG5" t="s">
        <v>148</v>
      </c>
      <c r="AH5" t="s">
        <v>195</v>
      </c>
      <c r="AI5">
        <v>392</v>
      </c>
      <c r="AK5" t="s">
        <v>109</v>
      </c>
      <c r="AR5" t="s">
        <v>154</v>
      </c>
      <c r="AS5" t="s">
        <v>222</v>
      </c>
      <c r="AU5" t="s">
        <v>111</v>
      </c>
      <c r="AV5" t="s">
        <v>907</v>
      </c>
      <c r="AW5">
        <v>100006776270404</v>
      </c>
      <c r="AX5">
        <v>100006776270404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H5" t="s">
        <v>103</v>
      </c>
      <c r="BI5" t="s">
        <v>608</v>
      </c>
      <c r="BJ5" t="s">
        <v>222</v>
      </c>
    </row>
    <row r="6" spans="1:62" x14ac:dyDescent="0.3">
      <c r="A6" t="s">
        <v>908</v>
      </c>
      <c r="B6" t="s">
        <v>114</v>
      </c>
      <c r="C6" t="s">
        <v>114</v>
      </c>
      <c r="D6" t="s">
        <v>210</v>
      </c>
      <c r="E6" t="s">
        <v>93</v>
      </c>
      <c r="F6" t="s">
        <v>909</v>
      </c>
      <c r="G6" t="s">
        <v>910</v>
      </c>
      <c r="I6" t="s">
        <v>911</v>
      </c>
      <c r="J6" t="s">
        <v>293</v>
      </c>
      <c r="K6" t="s">
        <v>912</v>
      </c>
      <c r="L6" t="s">
        <v>913</v>
      </c>
      <c r="M6" t="s">
        <v>880</v>
      </c>
      <c r="N6">
        <v>4343122003</v>
      </c>
      <c r="O6">
        <v>1027</v>
      </c>
      <c r="P6">
        <v>100</v>
      </c>
      <c r="Q6" t="s">
        <v>914</v>
      </c>
      <c r="R6" t="s">
        <v>97</v>
      </c>
      <c r="S6" t="s">
        <v>99</v>
      </c>
      <c r="T6" t="s">
        <v>141</v>
      </c>
      <c r="U6" t="s">
        <v>915</v>
      </c>
      <c r="V6" t="s">
        <v>106</v>
      </c>
      <c r="W6" t="s">
        <v>916</v>
      </c>
      <c r="X6" t="s">
        <v>897</v>
      </c>
      <c r="Y6" t="s">
        <v>524</v>
      </c>
      <c r="Z6">
        <v>44732008</v>
      </c>
      <c r="AA6" t="s">
        <v>917</v>
      </c>
      <c r="AB6" t="s">
        <v>106</v>
      </c>
      <c r="AC6" t="s">
        <v>898</v>
      </c>
      <c r="AD6" t="s">
        <v>918</v>
      </c>
      <c r="AE6" t="s">
        <v>883</v>
      </c>
      <c r="AF6" t="s">
        <v>108</v>
      </c>
      <c r="AG6" t="s">
        <v>148</v>
      </c>
      <c r="AH6" t="s">
        <v>256</v>
      </c>
      <c r="AI6">
        <v>581</v>
      </c>
      <c r="AK6" t="s">
        <v>109</v>
      </c>
      <c r="AR6" t="s">
        <v>154</v>
      </c>
      <c r="AS6" t="s">
        <v>222</v>
      </c>
      <c r="AU6" t="s">
        <v>111</v>
      </c>
      <c r="AV6" t="s">
        <v>919</v>
      </c>
      <c r="AW6" t="s">
        <v>920</v>
      </c>
      <c r="AX6" t="s">
        <v>896</v>
      </c>
      <c r="AY6">
        <v>900</v>
      </c>
      <c r="AZ6">
        <v>2.5</v>
      </c>
      <c r="BA6">
        <v>0</v>
      </c>
      <c r="BB6">
        <v>5</v>
      </c>
      <c r="BC6">
        <v>0</v>
      </c>
      <c r="BD6">
        <v>5</v>
      </c>
      <c r="BE6">
        <v>5.4</v>
      </c>
      <c r="BF6">
        <v>5.4</v>
      </c>
      <c r="BH6" t="s">
        <v>103</v>
      </c>
      <c r="BI6" t="s">
        <v>921</v>
      </c>
      <c r="BJ6" t="s">
        <v>222</v>
      </c>
    </row>
    <row r="7" spans="1:62" x14ac:dyDescent="0.3">
      <c r="A7" t="s">
        <v>922</v>
      </c>
      <c r="B7" t="s">
        <v>114</v>
      </c>
      <c r="C7" t="s">
        <v>114</v>
      </c>
      <c r="D7" t="s">
        <v>210</v>
      </c>
      <c r="E7" t="s">
        <v>93</v>
      </c>
      <c r="F7" t="s">
        <v>909</v>
      </c>
      <c r="G7" t="s">
        <v>910</v>
      </c>
      <c r="I7" t="s">
        <v>911</v>
      </c>
      <c r="J7" t="s">
        <v>293</v>
      </c>
      <c r="K7" t="s">
        <v>923</v>
      </c>
      <c r="L7" t="s">
        <v>924</v>
      </c>
      <c r="M7" t="s">
        <v>925</v>
      </c>
      <c r="N7">
        <v>6948256362</v>
      </c>
      <c r="O7">
        <v>219</v>
      </c>
      <c r="P7">
        <v>300</v>
      </c>
      <c r="Q7" t="s">
        <v>914</v>
      </c>
      <c r="R7" t="s">
        <v>97</v>
      </c>
      <c r="S7" t="s">
        <v>99</v>
      </c>
      <c r="T7" t="s">
        <v>141</v>
      </c>
      <c r="U7" t="s">
        <v>926</v>
      </c>
      <c r="V7" t="s">
        <v>106</v>
      </c>
      <c r="W7" t="s">
        <v>927</v>
      </c>
      <c r="X7" t="s">
        <v>928</v>
      </c>
      <c r="Y7" t="s">
        <v>524</v>
      </c>
      <c r="Z7">
        <v>44732008</v>
      </c>
      <c r="AA7" t="s">
        <v>917</v>
      </c>
      <c r="AB7" t="s">
        <v>106</v>
      </c>
      <c r="AC7" t="s">
        <v>882</v>
      </c>
      <c r="AD7" t="s">
        <v>929</v>
      </c>
      <c r="AE7" t="s">
        <v>883</v>
      </c>
      <c r="AF7" t="s">
        <v>108</v>
      </c>
      <c r="AG7" t="s">
        <v>148</v>
      </c>
      <c r="AH7" t="s">
        <v>256</v>
      </c>
      <c r="AI7">
        <v>350</v>
      </c>
      <c r="AK7" t="s">
        <v>109</v>
      </c>
      <c r="AR7" t="s">
        <v>154</v>
      </c>
      <c r="AS7" t="s">
        <v>222</v>
      </c>
      <c r="AU7" t="s">
        <v>111</v>
      </c>
      <c r="AV7" t="s">
        <v>930</v>
      </c>
      <c r="AW7" t="s">
        <v>931</v>
      </c>
      <c r="AX7" t="s">
        <v>896</v>
      </c>
      <c r="AY7">
        <v>180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H7" t="s">
        <v>103</v>
      </c>
      <c r="BI7" t="s">
        <v>921</v>
      </c>
      <c r="BJ7" t="s">
        <v>222</v>
      </c>
    </row>
    <row r="8" spans="1:62" x14ac:dyDescent="0.3">
      <c r="A8" t="s">
        <v>932</v>
      </c>
      <c r="B8" t="s">
        <v>114</v>
      </c>
      <c r="C8" t="s">
        <v>114</v>
      </c>
      <c r="D8" t="s">
        <v>210</v>
      </c>
      <c r="E8" t="s">
        <v>93</v>
      </c>
      <c r="F8" t="s">
        <v>909</v>
      </c>
      <c r="G8" t="s">
        <v>910</v>
      </c>
      <c r="I8" t="s">
        <v>911</v>
      </c>
      <c r="J8" t="s">
        <v>439</v>
      </c>
      <c r="K8" t="s">
        <v>933</v>
      </c>
      <c r="L8" t="s">
        <v>934</v>
      </c>
      <c r="M8" t="s">
        <v>935</v>
      </c>
      <c r="N8">
        <v>4763105013</v>
      </c>
      <c r="O8">
        <v>645</v>
      </c>
      <c r="P8">
        <v>100</v>
      </c>
      <c r="Q8" t="s">
        <v>914</v>
      </c>
      <c r="R8" t="s">
        <v>97</v>
      </c>
      <c r="S8" t="s">
        <v>99</v>
      </c>
      <c r="T8" t="s">
        <v>141</v>
      </c>
      <c r="U8" t="s">
        <v>936</v>
      </c>
      <c r="V8" t="s">
        <v>106</v>
      </c>
      <c r="W8" t="s">
        <v>937</v>
      </c>
      <c r="X8" t="s">
        <v>904</v>
      </c>
      <c r="Y8" t="s">
        <v>524</v>
      </c>
      <c r="Z8">
        <v>44746254</v>
      </c>
      <c r="AA8" t="s">
        <v>938</v>
      </c>
      <c r="AB8" t="s">
        <v>106</v>
      </c>
      <c r="AC8" t="s">
        <v>898</v>
      </c>
      <c r="AD8" t="s">
        <v>939</v>
      </c>
      <c r="AE8" t="s">
        <v>883</v>
      </c>
      <c r="AF8" t="s">
        <v>108</v>
      </c>
      <c r="AG8" t="s">
        <v>148</v>
      </c>
      <c r="AH8" t="s">
        <v>256</v>
      </c>
      <c r="AI8">
        <v>255</v>
      </c>
      <c r="AK8" t="s">
        <v>109</v>
      </c>
      <c r="AR8" t="s">
        <v>154</v>
      </c>
      <c r="AS8" t="s">
        <v>222</v>
      </c>
      <c r="AU8" t="s">
        <v>111</v>
      </c>
      <c r="AV8" t="s">
        <v>940</v>
      </c>
      <c r="AW8" t="s">
        <v>941</v>
      </c>
      <c r="AX8" t="s">
        <v>896</v>
      </c>
      <c r="AY8">
        <v>538</v>
      </c>
      <c r="AZ8">
        <v>0</v>
      </c>
      <c r="BA8">
        <v>0</v>
      </c>
      <c r="BB8">
        <v>0</v>
      </c>
      <c r="BC8">
        <v>0</v>
      </c>
      <c r="BD8">
        <v>5</v>
      </c>
      <c r="BE8">
        <v>0</v>
      </c>
      <c r="BF8">
        <v>0</v>
      </c>
      <c r="BH8" t="s">
        <v>103</v>
      </c>
      <c r="BI8" t="s">
        <v>921</v>
      </c>
      <c r="BJ8" t="s">
        <v>222</v>
      </c>
    </row>
    <row r="9" spans="1:62" x14ac:dyDescent="0.3">
      <c r="A9" t="s">
        <v>945</v>
      </c>
      <c r="B9" t="s">
        <v>293</v>
      </c>
      <c r="C9" t="s">
        <v>293</v>
      </c>
      <c r="D9" t="s">
        <v>336</v>
      </c>
      <c r="E9" t="s">
        <v>93</v>
      </c>
      <c r="F9" t="s">
        <v>337</v>
      </c>
      <c r="G9" t="s">
        <v>338</v>
      </c>
      <c r="I9" t="s">
        <v>339</v>
      </c>
      <c r="J9" t="s">
        <v>634</v>
      </c>
      <c r="K9" t="s">
        <v>946</v>
      </c>
      <c r="L9" t="s">
        <v>947</v>
      </c>
      <c r="M9" t="s">
        <v>880</v>
      </c>
      <c r="N9">
        <v>6608204369</v>
      </c>
      <c r="O9">
        <v>1411</v>
      </c>
      <c r="P9">
        <v>100</v>
      </c>
      <c r="Q9" t="s">
        <v>948</v>
      </c>
      <c r="R9" t="s">
        <v>97</v>
      </c>
      <c r="S9" t="s">
        <v>99</v>
      </c>
      <c r="T9" t="s">
        <v>141</v>
      </c>
      <c r="U9" t="s">
        <v>949</v>
      </c>
      <c r="V9" t="s">
        <v>106</v>
      </c>
      <c r="W9" t="s">
        <v>950</v>
      </c>
      <c r="X9" t="s">
        <v>951</v>
      </c>
      <c r="Y9" t="s">
        <v>524</v>
      </c>
      <c r="Z9">
        <v>44764099</v>
      </c>
      <c r="AA9" t="s">
        <v>952</v>
      </c>
      <c r="AB9" t="s">
        <v>106</v>
      </c>
      <c r="AC9" t="s">
        <v>898</v>
      </c>
      <c r="AD9" t="s">
        <v>953</v>
      </c>
      <c r="AE9" t="s">
        <v>883</v>
      </c>
      <c r="AF9" t="s">
        <v>108</v>
      </c>
      <c r="AG9" t="s">
        <v>148</v>
      </c>
      <c r="AH9" t="s">
        <v>195</v>
      </c>
      <c r="AI9">
        <v>980</v>
      </c>
      <c r="AK9" t="s">
        <v>109</v>
      </c>
      <c r="AR9" t="s">
        <v>154</v>
      </c>
      <c r="AS9" t="s">
        <v>222</v>
      </c>
      <c r="AU9" t="s">
        <v>111</v>
      </c>
      <c r="AV9" t="s">
        <v>954</v>
      </c>
      <c r="AW9" t="s">
        <v>955</v>
      </c>
      <c r="AX9" t="s">
        <v>896</v>
      </c>
      <c r="AY9">
        <v>1262</v>
      </c>
      <c r="AZ9">
        <v>0</v>
      </c>
      <c r="BA9">
        <v>0</v>
      </c>
      <c r="BB9">
        <v>0</v>
      </c>
      <c r="BC9">
        <v>0</v>
      </c>
      <c r="BD9">
        <v>5</v>
      </c>
      <c r="BE9">
        <v>62.95</v>
      </c>
      <c r="BF9">
        <v>62.95</v>
      </c>
      <c r="BH9" t="s">
        <v>103</v>
      </c>
      <c r="BI9" t="s">
        <v>353</v>
      </c>
      <c r="BJ9" t="s">
        <v>222</v>
      </c>
    </row>
    <row r="10" spans="1:62" x14ac:dyDescent="0.3">
      <c r="A10" t="s">
        <v>959</v>
      </c>
      <c r="B10" t="s">
        <v>436</v>
      </c>
      <c r="C10" t="s">
        <v>436</v>
      </c>
      <c r="D10" t="s">
        <v>210</v>
      </c>
      <c r="E10" t="s">
        <v>93</v>
      </c>
      <c r="F10" t="s">
        <v>960</v>
      </c>
      <c r="G10" t="s">
        <v>961</v>
      </c>
      <c r="I10" t="s">
        <v>213</v>
      </c>
      <c r="J10" t="s">
        <v>557</v>
      </c>
      <c r="K10" t="s">
        <v>962</v>
      </c>
      <c r="L10" t="s">
        <v>888</v>
      </c>
      <c r="M10" t="s">
        <v>889</v>
      </c>
      <c r="N10">
        <v>8940700511</v>
      </c>
      <c r="O10">
        <v>932</v>
      </c>
      <c r="P10">
        <v>300</v>
      </c>
      <c r="Q10" t="s">
        <v>963</v>
      </c>
      <c r="R10" t="s">
        <v>97</v>
      </c>
      <c r="S10" t="s">
        <v>99</v>
      </c>
      <c r="T10" t="s">
        <v>141</v>
      </c>
      <c r="U10" t="s">
        <v>964</v>
      </c>
      <c r="V10" t="s">
        <v>106</v>
      </c>
      <c r="W10" t="s">
        <v>965</v>
      </c>
      <c r="X10" t="s">
        <v>895</v>
      </c>
      <c r="Y10" t="s">
        <v>524</v>
      </c>
      <c r="Z10">
        <v>44835799</v>
      </c>
      <c r="AA10" t="s">
        <v>966</v>
      </c>
      <c r="AB10" t="s">
        <v>106</v>
      </c>
      <c r="AC10" t="s">
        <v>882</v>
      </c>
      <c r="AD10" t="s">
        <v>967</v>
      </c>
      <c r="AE10" t="s">
        <v>883</v>
      </c>
      <c r="AF10" t="s">
        <v>108</v>
      </c>
      <c r="AG10" t="s">
        <v>148</v>
      </c>
      <c r="AH10" t="s">
        <v>123</v>
      </c>
      <c r="AI10">
        <v>233</v>
      </c>
      <c r="AK10" t="s">
        <v>109</v>
      </c>
      <c r="AR10" t="s">
        <v>154</v>
      </c>
      <c r="AS10" t="s">
        <v>222</v>
      </c>
      <c r="AU10" t="s">
        <v>111</v>
      </c>
      <c r="AV10" t="s">
        <v>968</v>
      </c>
      <c r="AW10" t="s">
        <v>969</v>
      </c>
      <c r="AX10" t="s">
        <v>896</v>
      </c>
      <c r="AY10">
        <v>687</v>
      </c>
      <c r="AZ10">
        <v>0</v>
      </c>
      <c r="BA10">
        <v>0</v>
      </c>
      <c r="BB10">
        <v>0</v>
      </c>
      <c r="BC10">
        <v>0</v>
      </c>
      <c r="BD10">
        <v>5</v>
      </c>
      <c r="BE10">
        <v>34.35</v>
      </c>
      <c r="BF10">
        <v>34.35</v>
      </c>
      <c r="BH10" t="s">
        <v>190</v>
      </c>
      <c r="BI10" t="s">
        <v>886</v>
      </c>
      <c r="BJ10" t="s">
        <v>222</v>
      </c>
    </row>
    <row r="11" spans="1:62" x14ac:dyDescent="0.3">
      <c r="A11" t="s">
        <v>970</v>
      </c>
      <c r="B11" t="s">
        <v>606</v>
      </c>
      <c r="C11" t="s">
        <v>606</v>
      </c>
      <c r="D11" t="s">
        <v>336</v>
      </c>
      <c r="E11" t="s">
        <v>93</v>
      </c>
      <c r="F11" t="s">
        <v>777</v>
      </c>
      <c r="G11" t="s">
        <v>778</v>
      </c>
      <c r="I11" t="s">
        <v>339</v>
      </c>
      <c r="J11" t="s">
        <v>631</v>
      </c>
      <c r="K11" t="s">
        <v>971</v>
      </c>
      <c r="L11" t="s">
        <v>972</v>
      </c>
      <c r="M11" t="s">
        <v>889</v>
      </c>
      <c r="N11">
        <v>8752577922</v>
      </c>
      <c r="O11">
        <v>1274</v>
      </c>
      <c r="P11">
        <v>100</v>
      </c>
      <c r="Q11" t="s">
        <v>617</v>
      </c>
      <c r="R11" t="s">
        <v>97</v>
      </c>
      <c r="S11" t="s">
        <v>99</v>
      </c>
      <c r="T11" t="s">
        <v>141</v>
      </c>
      <c r="U11" t="s">
        <v>973</v>
      </c>
      <c r="V11" t="s">
        <v>106</v>
      </c>
      <c r="W11" t="s">
        <v>974</v>
      </c>
      <c r="X11" t="s">
        <v>956</v>
      </c>
      <c r="Y11" t="s">
        <v>524</v>
      </c>
      <c r="Z11">
        <v>44873126</v>
      </c>
      <c r="AA11" t="s">
        <v>975</v>
      </c>
      <c r="AB11" t="s">
        <v>106</v>
      </c>
      <c r="AC11" t="s">
        <v>898</v>
      </c>
      <c r="AD11" t="s">
        <v>976</v>
      </c>
      <c r="AE11" t="s">
        <v>883</v>
      </c>
      <c r="AF11" t="s">
        <v>108</v>
      </c>
      <c r="AG11" t="s">
        <v>148</v>
      </c>
      <c r="AH11" t="s">
        <v>195</v>
      </c>
      <c r="AI11">
        <v>374</v>
      </c>
      <c r="AK11" t="s">
        <v>109</v>
      </c>
      <c r="AR11" t="s">
        <v>154</v>
      </c>
      <c r="AS11" t="s">
        <v>222</v>
      </c>
      <c r="AU11" t="s">
        <v>111</v>
      </c>
      <c r="AV11" t="s">
        <v>977</v>
      </c>
      <c r="AW11" t="s">
        <v>978</v>
      </c>
      <c r="AX11" t="s">
        <v>896</v>
      </c>
      <c r="AY11">
        <v>840</v>
      </c>
      <c r="AZ11">
        <v>0</v>
      </c>
      <c r="BA11">
        <v>0</v>
      </c>
      <c r="BB11">
        <v>0</v>
      </c>
      <c r="BC11">
        <v>0</v>
      </c>
      <c r="BD11">
        <v>5</v>
      </c>
      <c r="BE11">
        <v>42</v>
      </c>
      <c r="BF11">
        <v>42</v>
      </c>
      <c r="BH11" t="s">
        <v>103</v>
      </c>
      <c r="BI11" t="s">
        <v>608</v>
      </c>
      <c r="BJ11" t="s">
        <v>222</v>
      </c>
    </row>
    <row r="12" spans="1:62" x14ac:dyDescent="0.3">
      <c r="A12" t="s">
        <v>979</v>
      </c>
      <c r="B12" t="s">
        <v>606</v>
      </c>
      <c r="C12" t="s">
        <v>606</v>
      </c>
      <c r="D12" t="s">
        <v>336</v>
      </c>
      <c r="E12" t="s">
        <v>93</v>
      </c>
      <c r="F12" t="s">
        <v>777</v>
      </c>
      <c r="G12" t="s">
        <v>778</v>
      </c>
      <c r="I12" t="s">
        <v>339</v>
      </c>
      <c r="J12" t="s">
        <v>628</v>
      </c>
      <c r="K12" t="s">
        <v>980</v>
      </c>
      <c r="L12" t="s">
        <v>942</v>
      </c>
      <c r="M12" t="s">
        <v>889</v>
      </c>
      <c r="N12">
        <v>8352563039</v>
      </c>
      <c r="O12">
        <v>1496</v>
      </c>
      <c r="P12">
        <v>300</v>
      </c>
      <c r="Q12" t="s">
        <v>617</v>
      </c>
      <c r="R12" t="s">
        <v>97</v>
      </c>
      <c r="S12" t="s">
        <v>99</v>
      </c>
      <c r="T12" t="s">
        <v>141</v>
      </c>
      <c r="U12" t="s">
        <v>981</v>
      </c>
      <c r="V12" t="s">
        <v>106</v>
      </c>
      <c r="W12" t="s">
        <v>982</v>
      </c>
      <c r="X12" t="s">
        <v>904</v>
      </c>
      <c r="Y12" t="s">
        <v>524</v>
      </c>
      <c r="Z12">
        <v>44869781</v>
      </c>
      <c r="AA12" t="s">
        <v>983</v>
      </c>
      <c r="AB12" t="s">
        <v>106</v>
      </c>
      <c r="AC12" t="s">
        <v>882</v>
      </c>
      <c r="AD12" t="s">
        <v>984</v>
      </c>
      <c r="AE12" t="s">
        <v>883</v>
      </c>
      <c r="AF12" t="s">
        <v>108</v>
      </c>
      <c r="AG12" t="s">
        <v>148</v>
      </c>
      <c r="AH12" t="s">
        <v>195</v>
      </c>
      <c r="AI12">
        <v>462</v>
      </c>
      <c r="AK12" t="s">
        <v>109</v>
      </c>
      <c r="AR12" t="s">
        <v>154</v>
      </c>
      <c r="AS12" t="s">
        <v>222</v>
      </c>
      <c r="AU12" t="s">
        <v>111</v>
      </c>
      <c r="AV12" t="s">
        <v>985</v>
      </c>
      <c r="AW12" t="s">
        <v>986</v>
      </c>
      <c r="AX12" t="s">
        <v>896</v>
      </c>
      <c r="AY12">
        <v>1208</v>
      </c>
      <c r="AZ12">
        <v>0</v>
      </c>
      <c r="BA12">
        <v>0</v>
      </c>
      <c r="BB12">
        <v>0</v>
      </c>
      <c r="BC12">
        <v>0</v>
      </c>
      <c r="BD12">
        <v>5</v>
      </c>
      <c r="BE12">
        <v>0</v>
      </c>
      <c r="BF12">
        <v>0</v>
      </c>
      <c r="BH12" t="s">
        <v>103</v>
      </c>
      <c r="BI12" t="s">
        <v>608</v>
      </c>
      <c r="BJ12" t="s">
        <v>222</v>
      </c>
    </row>
    <row r="13" spans="1:62" x14ac:dyDescent="0.3">
      <c r="A13" t="s">
        <v>988</v>
      </c>
      <c r="B13" t="s">
        <v>631</v>
      </c>
      <c r="C13" t="s">
        <v>631</v>
      </c>
      <c r="D13" t="s">
        <v>121</v>
      </c>
      <c r="E13" t="s">
        <v>93</v>
      </c>
      <c r="F13" t="s">
        <v>558</v>
      </c>
      <c r="G13" t="s">
        <v>559</v>
      </c>
      <c r="H13">
        <v>3701618</v>
      </c>
      <c r="I13" t="s">
        <v>560</v>
      </c>
      <c r="J13" t="s">
        <v>740</v>
      </c>
      <c r="K13" t="s">
        <v>989</v>
      </c>
      <c r="L13" t="s">
        <v>942</v>
      </c>
      <c r="M13" t="s">
        <v>889</v>
      </c>
      <c r="N13">
        <v>2742577678</v>
      </c>
      <c r="O13">
        <v>1013</v>
      </c>
      <c r="P13">
        <v>100</v>
      </c>
      <c r="Q13" t="s">
        <v>990</v>
      </c>
      <c r="R13" t="s">
        <v>97</v>
      </c>
      <c r="S13" t="s">
        <v>99</v>
      </c>
      <c r="T13" t="s">
        <v>141</v>
      </c>
      <c r="U13" t="s">
        <v>991</v>
      </c>
      <c r="V13" t="s">
        <v>106</v>
      </c>
      <c r="W13" t="s">
        <v>992</v>
      </c>
      <c r="X13" t="s">
        <v>881</v>
      </c>
      <c r="Y13" t="s">
        <v>524</v>
      </c>
      <c r="Z13">
        <v>44947720</v>
      </c>
      <c r="AA13" t="s">
        <v>993</v>
      </c>
      <c r="AB13" t="s">
        <v>106</v>
      </c>
      <c r="AC13" t="s">
        <v>898</v>
      </c>
      <c r="AD13" t="s">
        <v>994</v>
      </c>
      <c r="AE13" t="s">
        <v>883</v>
      </c>
      <c r="AF13" t="s">
        <v>108</v>
      </c>
      <c r="AG13" t="s">
        <v>148</v>
      </c>
      <c r="AH13" t="s">
        <v>196</v>
      </c>
      <c r="AI13">
        <v>216</v>
      </c>
      <c r="AK13" t="s">
        <v>109</v>
      </c>
      <c r="AR13" t="s">
        <v>154</v>
      </c>
      <c r="AS13" t="s">
        <v>222</v>
      </c>
      <c r="AU13" t="s">
        <v>118</v>
      </c>
      <c r="AV13" t="s">
        <v>995</v>
      </c>
      <c r="AW13" t="s">
        <v>996</v>
      </c>
      <c r="AX13" t="s">
        <v>944</v>
      </c>
      <c r="AY13">
        <v>593</v>
      </c>
      <c r="AZ13">
        <v>2.5</v>
      </c>
      <c r="BA13">
        <v>0</v>
      </c>
      <c r="BB13">
        <v>2.5</v>
      </c>
      <c r="BC13">
        <v>0</v>
      </c>
      <c r="BD13">
        <v>5</v>
      </c>
      <c r="BE13">
        <v>29.5</v>
      </c>
      <c r="BF13">
        <v>29.5</v>
      </c>
      <c r="BH13" t="s">
        <v>112</v>
      </c>
      <c r="BI13" t="s">
        <v>324</v>
      </c>
      <c r="BJ13" t="s">
        <v>222</v>
      </c>
    </row>
    <row r="14" spans="1:62" x14ac:dyDescent="0.3">
      <c r="A14" t="s">
        <v>997</v>
      </c>
      <c r="B14" t="s">
        <v>631</v>
      </c>
      <c r="C14" t="s">
        <v>631</v>
      </c>
      <c r="D14" t="s">
        <v>336</v>
      </c>
      <c r="E14" t="s">
        <v>93</v>
      </c>
      <c r="F14" t="s">
        <v>777</v>
      </c>
      <c r="G14" t="s">
        <v>778</v>
      </c>
      <c r="I14" t="s">
        <v>339</v>
      </c>
      <c r="J14" t="s">
        <v>677</v>
      </c>
      <c r="K14" t="s">
        <v>957</v>
      </c>
      <c r="L14" t="s">
        <v>998</v>
      </c>
      <c r="M14" t="s">
        <v>943</v>
      </c>
      <c r="N14">
        <v>4863577613</v>
      </c>
      <c r="O14">
        <v>1652</v>
      </c>
      <c r="P14">
        <v>300</v>
      </c>
      <c r="Q14" t="s">
        <v>617</v>
      </c>
      <c r="R14" t="s">
        <v>97</v>
      </c>
      <c r="S14" t="s">
        <v>99</v>
      </c>
      <c r="T14" t="s">
        <v>141</v>
      </c>
      <c r="U14" t="s">
        <v>999</v>
      </c>
      <c r="V14" t="s">
        <v>106</v>
      </c>
      <c r="W14" t="s">
        <v>1000</v>
      </c>
      <c r="X14" t="s">
        <v>881</v>
      </c>
      <c r="Y14" t="s">
        <v>524</v>
      </c>
      <c r="Z14">
        <v>44926431</v>
      </c>
      <c r="AA14" t="s">
        <v>1001</v>
      </c>
      <c r="AB14" t="s">
        <v>106</v>
      </c>
      <c r="AC14" t="s">
        <v>882</v>
      </c>
      <c r="AD14" t="s">
        <v>958</v>
      </c>
      <c r="AE14" t="s">
        <v>883</v>
      </c>
      <c r="AF14" t="s">
        <v>108</v>
      </c>
      <c r="AG14" t="s">
        <v>148</v>
      </c>
      <c r="AH14" t="s">
        <v>195</v>
      </c>
      <c r="AI14">
        <v>374</v>
      </c>
      <c r="AK14" t="s">
        <v>109</v>
      </c>
      <c r="AR14" t="s">
        <v>154</v>
      </c>
      <c r="AS14" t="s">
        <v>222</v>
      </c>
      <c r="AU14" t="s">
        <v>111</v>
      </c>
      <c r="AV14" t="s">
        <v>1002</v>
      </c>
      <c r="AW14" t="s">
        <v>1003</v>
      </c>
      <c r="AX14" t="s">
        <v>896</v>
      </c>
      <c r="AY14">
        <v>1490</v>
      </c>
      <c r="AZ14">
        <v>2.5</v>
      </c>
      <c r="BA14">
        <v>0</v>
      </c>
      <c r="BB14">
        <v>2.5</v>
      </c>
      <c r="BC14">
        <v>0</v>
      </c>
      <c r="BD14">
        <v>5</v>
      </c>
      <c r="BE14">
        <v>74.3</v>
      </c>
      <c r="BF14">
        <v>74.3</v>
      </c>
      <c r="BH14" t="s">
        <v>103</v>
      </c>
      <c r="BI14" t="s">
        <v>608</v>
      </c>
      <c r="BJ14" t="s">
        <v>222</v>
      </c>
    </row>
    <row r="15" spans="1:62" x14ac:dyDescent="0.3">
      <c r="A15" t="s">
        <v>1004</v>
      </c>
      <c r="B15" t="s">
        <v>677</v>
      </c>
      <c r="C15" t="s">
        <v>677</v>
      </c>
      <c r="D15" t="s">
        <v>210</v>
      </c>
      <c r="E15" t="s">
        <v>93</v>
      </c>
      <c r="F15" t="s">
        <v>1005</v>
      </c>
      <c r="G15" t="s">
        <v>1006</v>
      </c>
      <c r="I15" t="s">
        <v>1007</v>
      </c>
      <c r="J15" t="s">
        <v>740</v>
      </c>
      <c r="K15" t="s">
        <v>1008</v>
      </c>
      <c r="L15" t="s">
        <v>942</v>
      </c>
      <c r="M15" t="s">
        <v>889</v>
      </c>
      <c r="N15">
        <v>2958012094</v>
      </c>
      <c r="O15">
        <v>1124</v>
      </c>
      <c r="P15">
        <v>100</v>
      </c>
      <c r="Q15" t="s">
        <v>1009</v>
      </c>
      <c r="R15" t="s">
        <v>97</v>
      </c>
      <c r="S15" t="s">
        <v>99</v>
      </c>
      <c r="T15" t="s">
        <v>141</v>
      </c>
      <c r="U15" t="s">
        <v>1010</v>
      </c>
      <c r="V15" t="s">
        <v>106</v>
      </c>
      <c r="W15" t="s">
        <v>1011</v>
      </c>
      <c r="X15" t="s">
        <v>951</v>
      </c>
      <c r="Y15" t="s">
        <v>524</v>
      </c>
      <c r="Z15">
        <v>44979641</v>
      </c>
      <c r="AA15" t="s">
        <v>1012</v>
      </c>
      <c r="AB15" t="s">
        <v>266</v>
      </c>
      <c r="AC15" t="s">
        <v>898</v>
      </c>
      <c r="AD15" t="s">
        <v>1013</v>
      </c>
      <c r="AE15" t="s">
        <v>883</v>
      </c>
      <c r="AF15" t="s">
        <v>108</v>
      </c>
      <c r="AG15" t="s">
        <v>148</v>
      </c>
      <c r="AH15" t="s">
        <v>103</v>
      </c>
      <c r="AI15">
        <v>403</v>
      </c>
      <c r="AK15" t="s">
        <v>109</v>
      </c>
      <c r="AR15" t="s">
        <v>154</v>
      </c>
      <c r="AS15" t="s">
        <v>222</v>
      </c>
      <c r="AU15" t="s">
        <v>111</v>
      </c>
      <c r="AV15" t="s">
        <v>1014</v>
      </c>
      <c r="AW15" t="s">
        <v>1015</v>
      </c>
      <c r="AX15" t="s">
        <v>896</v>
      </c>
      <c r="AY15">
        <v>889</v>
      </c>
      <c r="AZ15">
        <v>0</v>
      </c>
      <c r="BA15">
        <v>22.22</v>
      </c>
      <c r="BB15">
        <v>0</v>
      </c>
      <c r="BC15">
        <v>0</v>
      </c>
      <c r="BD15">
        <v>0</v>
      </c>
      <c r="BE15">
        <v>0</v>
      </c>
      <c r="BF15">
        <v>44.44</v>
      </c>
      <c r="BH15" t="s">
        <v>190</v>
      </c>
      <c r="BI15" t="s">
        <v>212</v>
      </c>
      <c r="BJ15" t="s">
        <v>222</v>
      </c>
    </row>
    <row r="16" spans="1:62" x14ac:dyDescent="0.3">
      <c r="A16" t="s">
        <v>1016</v>
      </c>
      <c r="B16" t="s">
        <v>677</v>
      </c>
      <c r="C16" t="s">
        <v>677</v>
      </c>
      <c r="D16" t="s">
        <v>336</v>
      </c>
      <c r="E16" t="s">
        <v>93</v>
      </c>
      <c r="F16" t="s">
        <v>1017</v>
      </c>
      <c r="G16" t="s">
        <v>1018</v>
      </c>
      <c r="I16" t="s">
        <v>339</v>
      </c>
      <c r="J16" t="s">
        <v>740</v>
      </c>
      <c r="K16" t="s">
        <v>1008</v>
      </c>
      <c r="L16" t="s">
        <v>942</v>
      </c>
      <c r="M16" t="s">
        <v>889</v>
      </c>
      <c r="N16">
        <v>2958012094</v>
      </c>
      <c r="O16">
        <v>1124</v>
      </c>
      <c r="P16">
        <v>100</v>
      </c>
      <c r="Q16" t="s">
        <v>948</v>
      </c>
      <c r="R16" t="s">
        <v>97</v>
      </c>
      <c r="S16" t="s">
        <v>99</v>
      </c>
      <c r="T16" t="s">
        <v>141</v>
      </c>
      <c r="U16" t="s">
        <v>1019</v>
      </c>
      <c r="V16" t="s">
        <v>106</v>
      </c>
      <c r="W16" t="s">
        <v>1011</v>
      </c>
      <c r="X16" t="s">
        <v>951</v>
      </c>
      <c r="Y16" t="s">
        <v>524</v>
      </c>
      <c r="Z16">
        <v>44979533</v>
      </c>
      <c r="AA16" t="s">
        <v>1020</v>
      </c>
      <c r="AB16" t="s">
        <v>106</v>
      </c>
      <c r="AC16" t="s">
        <v>898</v>
      </c>
      <c r="AD16" t="s">
        <v>1013</v>
      </c>
      <c r="AE16" t="s">
        <v>883</v>
      </c>
      <c r="AF16" t="s">
        <v>108</v>
      </c>
      <c r="AG16" t="s">
        <v>148</v>
      </c>
      <c r="AH16" t="s">
        <v>195</v>
      </c>
      <c r="AI16">
        <v>403</v>
      </c>
      <c r="AK16" t="s">
        <v>109</v>
      </c>
      <c r="AR16" t="s">
        <v>154</v>
      </c>
      <c r="AS16" t="s">
        <v>222</v>
      </c>
      <c r="AU16" t="s">
        <v>111</v>
      </c>
      <c r="AV16" t="s">
        <v>1021</v>
      </c>
      <c r="AW16" t="s">
        <v>1015</v>
      </c>
      <c r="AX16" t="s">
        <v>896</v>
      </c>
      <c r="AY16">
        <v>889.5</v>
      </c>
      <c r="AZ16">
        <v>0</v>
      </c>
      <c r="BA16">
        <v>22.22</v>
      </c>
      <c r="BB16">
        <v>0</v>
      </c>
      <c r="BC16">
        <v>0</v>
      </c>
      <c r="BD16">
        <v>0</v>
      </c>
      <c r="BE16">
        <v>0</v>
      </c>
      <c r="BF16">
        <v>44.44</v>
      </c>
      <c r="BH16" t="s">
        <v>103</v>
      </c>
      <c r="BI16" t="s">
        <v>353</v>
      </c>
      <c r="BJ16" t="s">
        <v>222</v>
      </c>
    </row>
    <row r="17" spans="1:62" x14ac:dyDescent="0.3">
      <c r="A17" t="s">
        <v>1022</v>
      </c>
      <c r="B17" t="s">
        <v>710</v>
      </c>
      <c r="C17" t="s">
        <v>710</v>
      </c>
      <c r="D17" t="s">
        <v>210</v>
      </c>
      <c r="E17" t="s">
        <v>93</v>
      </c>
      <c r="F17" t="s">
        <v>1005</v>
      </c>
      <c r="G17" t="s">
        <v>1006</v>
      </c>
      <c r="I17" t="s">
        <v>1007</v>
      </c>
      <c r="J17" t="s">
        <v>987</v>
      </c>
      <c r="K17" t="s">
        <v>1023</v>
      </c>
      <c r="L17" t="s">
        <v>942</v>
      </c>
      <c r="M17" t="s">
        <v>889</v>
      </c>
      <c r="N17">
        <v>2523921693</v>
      </c>
      <c r="O17">
        <v>1329</v>
      </c>
      <c r="P17">
        <v>100</v>
      </c>
      <c r="Q17" t="s">
        <v>1009</v>
      </c>
      <c r="R17" t="s">
        <v>97</v>
      </c>
      <c r="S17" t="s">
        <v>99</v>
      </c>
      <c r="T17" t="s">
        <v>141</v>
      </c>
      <c r="U17" t="s">
        <v>1024</v>
      </c>
      <c r="V17" t="s">
        <v>106</v>
      </c>
      <c r="W17" t="s">
        <v>1025</v>
      </c>
      <c r="X17" t="s">
        <v>897</v>
      </c>
      <c r="Y17" t="s">
        <v>524</v>
      </c>
      <c r="Z17">
        <v>44979641</v>
      </c>
      <c r="AA17" t="s">
        <v>1012</v>
      </c>
      <c r="AB17" t="s">
        <v>266</v>
      </c>
      <c r="AC17" t="s">
        <v>898</v>
      </c>
      <c r="AD17" t="s">
        <v>1026</v>
      </c>
      <c r="AE17" t="s">
        <v>883</v>
      </c>
      <c r="AF17" t="s">
        <v>108</v>
      </c>
      <c r="AG17" t="s">
        <v>148</v>
      </c>
      <c r="AH17" t="s">
        <v>103</v>
      </c>
      <c r="AI17">
        <v>403</v>
      </c>
      <c r="AK17" t="s">
        <v>109</v>
      </c>
      <c r="AR17" t="s">
        <v>154</v>
      </c>
      <c r="AS17" t="s">
        <v>222</v>
      </c>
      <c r="AU17" t="s">
        <v>111</v>
      </c>
      <c r="AV17" t="s">
        <v>1027</v>
      </c>
      <c r="AW17" t="s">
        <v>1028</v>
      </c>
      <c r="AX17" t="s">
        <v>896</v>
      </c>
      <c r="AY17">
        <v>893</v>
      </c>
      <c r="AZ17">
        <v>2.5</v>
      </c>
      <c r="BA17">
        <v>0</v>
      </c>
      <c r="BB17">
        <v>5</v>
      </c>
      <c r="BC17">
        <v>0</v>
      </c>
      <c r="BD17">
        <v>5</v>
      </c>
      <c r="BE17">
        <v>5.4</v>
      </c>
      <c r="BF17">
        <v>5.4</v>
      </c>
      <c r="BH17" t="s">
        <v>190</v>
      </c>
      <c r="BI17" t="s">
        <v>212</v>
      </c>
      <c r="BJ17" t="s">
        <v>222</v>
      </c>
    </row>
    <row r="18" spans="1:62" x14ac:dyDescent="0.3">
      <c r="A18" s="3" t="s">
        <v>802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4">
        <f>SUM(O4:O17)</f>
        <v>15901</v>
      </c>
      <c r="P18" s="3">
        <f>SUM(P4:P17)</f>
        <v>2600</v>
      </c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</row>
  </sheetData>
  <sheetProtection formatCells="0" formatColumns="0" formatRows="0" insertColumns="0" insertRows="0" insertHyperlinks="0" deleteColumns="0" deleteRows="0" sort="0" autoFilter="0" pivotTables="0"/>
  <autoFilter ref="A3:BN18" xr:uid="{84FEF44D-20C7-4939-8C3A-C6292247F883}"/>
  <pageMargins left="0.7" right="0.7" top="0.75" bottom="0.75" header="0.3" footer="0.3"/>
  <pageSetup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C67E4-602B-46EB-AB11-562B5A955CCE}">
  <dimension ref="A1:AS5"/>
  <sheetViews>
    <sheetView showRuler="0" zoomScaleNormal="100" workbookViewId="0">
      <selection activeCell="M4" sqref="M4"/>
    </sheetView>
  </sheetViews>
  <sheetFormatPr defaultRowHeight="14.4" x14ac:dyDescent="0.3"/>
  <cols>
    <col min="1" max="1" width="15" customWidth="1"/>
    <col min="2" max="3" width="27" customWidth="1"/>
    <col min="4" max="4" width="21.109375" customWidth="1"/>
    <col min="5" max="5" width="31.6640625" customWidth="1"/>
    <col min="6" max="6" width="16.44140625" customWidth="1"/>
    <col min="7" max="7" width="14" customWidth="1"/>
    <col min="8" max="8" width="27" customWidth="1"/>
    <col min="9" max="9" width="53" customWidth="1"/>
    <col min="10" max="10" width="50.5546875" customWidth="1"/>
    <col min="11" max="11" width="10.5546875" customWidth="1"/>
    <col min="12" max="13" width="12.88671875" customWidth="1"/>
    <col min="14" max="14" width="25.88671875" customWidth="1"/>
    <col min="15" max="15" width="29.44140625" customWidth="1"/>
    <col min="16" max="16" width="18.6640625" customWidth="1"/>
    <col min="17" max="17" width="27" customWidth="1"/>
    <col min="18" max="18" width="37.6640625" customWidth="1"/>
    <col min="19" max="19" width="25.88671875" customWidth="1"/>
    <col min="20" max="20" width="17.5546875" customWidth="1"/>
    <col min="21" max="21" width="10.5546875" customWidth="1"/>
    <col min="22" max="22" width="31.6640625" customWidth="1"/>
    <col min="23" max="23" width="10.5546875" customWidth="1"/>
    <col min="24" max="24" width="45.88671875" customWidth="1"/>
    <col min="25" max="25" width="14" customWidth="1"/>
    <col min="26" max="26" width="16.44140625" customWidth="1"/>
    <col min="27" max="27" width="31.6640625" customWidth="1"/>
    <col min="28" max="29" width="14" customWidth="1"/>
    <col min="30" max="30" width="20" customWidth="1"/>
    <col min="31" max="31" width="12.88671875" customWidth="1"/>
    <col min="32" max="32" width="16.44140625" customWidth="1"/>
    <col min="33" max="33" width="10.5546875" customWidth="1"/>
    <col min="34" max="34" width="7" customWidth="1"/>
    <col min="35" max="35" width="18.6640625" customWidth="1"/>
    <col min="36" max="36" width="14" customWidth="1"/>
    <col min="37" max="37" width="9.33203125" customWidth="1"/>
    <col min="38" max="38" width="10.5546875" customWidth="1"/>
    <col min="39" max="39" width="12.88671875" customWidth="1"/>
    <col min="40" max="40" width="56.5546875" customWidth="1"/>
    <col min="41" max="41" width="35.21875" customWidth="1"/>
    <col min="42" max="42" width="18.6640625" customWidth="1"/>
    <col min="43" max="43" width="12.88671875" customWidth="1"/>
    <col min="44" max="45" width="17.5546875" customWidth="1"/>
  </cols>
  <sheetData>
    <row r="1" spans="1:45" x14ac:dyDescent="0.3">
      <c r="A1" s="1" t="s">
        <v>1029</v>
      </c>
    </row>
    <row r="3" spans="1:45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6</v>
      </c>
      <c r="F3" s="2" t="s">
        <v>7</v>
      </c>
      <c r="G3" s="2" t="s">
        <v>8</v>
      </c>
      <c r="H3" s="2" t="s">
        <v>11</v>
      </c>
      <c r="I3" s="2" t="s">
        <v>12</v>
      </c>
      <c r="J3" s="2" t="s">
        <v>1030</v>
      </c>
      <c r="K3" s="2" t="s">
        <v>1031</v>
      </c>
      <c r="L3" s="2" t="s">
        <v>16</v>
      </c>
      <c r="M3" s="2" t="s">
        <v>21</v>
      </c>
      <c r="N3" s="2" t="s">
        <v>22</v>
      </c>
      <c r="O3" s="2" t="s">
        <v>23</v>
      </c>
      <c r="P3" s="2" t="s">
        <v>24</v>
      </c>
      <c r="Q3" s="2" t="s">
        <v>28</v>
      </c>
      <c r="R3" s="2" t="s">
        <v>29</v>
      </c>
      <c r="S3" s="2" t="s">
        <v>30</v>
      </c>
      <c r="T3" s="2" t="s">
        <v>1032</v>
      </c>
      <c r="U3" s="2" t="s">
        <v>852</v>
      </c>
      <c r="V3" s="2" t="s">
        <v>32</v>
      </c>
      <c r="W3" s="2" t="s">
        <v>35</v>
      </c>
      <c r="X3" s="2" t="s">
        <v>36</v>
      </c>
      <c r="Y3" s="2" t="s">
        <v>40</v>
      </c>
      <c r="Z3" s="2" t="s">
        <v>861</v>
      </c>
      <c r="AA3" s="2" t="s">
        <v>1033</v>
      </c>
      <c r="AB3" s="2" t="s">
        <v>864</v>
      </c>
      <c r="AC3" s="2" t="s">
        <v>56</v>
      </c>
      <c r="AD3" s="2" t="s">
        <v>59</v>
      </c>
      <c r="AE3" s="2" t="s">
        <v>9</v>
      </c>
      <c r="AF3" s="2" t="s">
        <v>63</v>
      </c>
      <c r="AG3" s="2" t="s">
        <v>72</v>
      </c>
      <c r="AH3" s="2" t="s">
        <v>70</v>
      </c>
      <c r="AI3" s="2" t="s">
        <v>71</v>
      </c>
      <c r="AJ3" s="2" t="s">
        <v>853</v>
      </c>
      <c r="AK3" s="2" t="s">
        <v>76</v>
      </c>
      <c r="AL3" s="2" t="s">
        <v>77</v>
      </c>
      <c r="AM3" s="2" t="s">
        <v>5</v>
      </c>
      <c r="AN3" s="2" t="s">
        <v>80</v>
      </c>
      <c r="AO3" s="2" t="s">
        <v>81</v>
      </c>
      <c r="AP3" s="2" t="s">
        <v>84</v>
      </c>
      <c r="AQ3" s="2" t="s">
        <v>85</v>
      </c>
      <c r="AR3" s="2" t="s">
        <v>878</v>
      </c>
      <c r="AS3" s="2" t="s">
        <v>877</v>
      </c>
    </row>
    <row r="4" spans="1:45" x14ac:dyDescent="0.3">
      <c r="A4" t="s">
        <v>1044</v>
      </c>
      <c r="B4" t="s">
        <v>850</v>
      </c>
      <c r="C4" t="s">
        <v>1045</v>
      </c>
      <c r="D4" t="s">
        <v>730</v>
      </c>
      <c r="E4" t="s">
        <v>731</v>
      </c>
      <c r="F4" t="s">
        <v>732</v>
      </c>
      <c r="H4" t="s">
        <v>1046</v>
      </c>
      <c r="I4" t="s">
        <v>1047</v>
      </c>
      <c r="J4" t="s">
        <v>1035</v>
      </c>
      <c r="K4" t="s">
        <v>305</v>
      </c>
      <c r="L4" t="s">
        <v>1048</v>
      </c>
      <c r="M4">
        <v>1470</v>
      </c>
      <c r="N4">
        <v>50</v>
      </c>
      <c r="O4" t="s">
        <v>990</v>
      </c>
      <c r="P4" t="s">
        <v>97</v>
      </c>
      <c r="Q4" t="s">
        <v>99</v>
      </c>
      <c r="R4" t="s">
        <v>141</v>
      </c>
      <c r="S4">
        <v>120730597</v>
      </c>
      <c r="T4">
        <v>45014729</v>
      </c>
      <c r="U4" t="s">
        <v>106</v>
      </c>
      <c r="V4" t="s">
        <v>240</v>
      </c>
      <c r="W4" t="s">
        <v>190</v>
      </c>
      <c r="X4" t="s">
        <v>737</v>
      </c>
      <c r="Y4">
        <v>45014729</v>
      </c>
      <c r="Z4" t="s">
        <v>524</v>
      </c>
      <c r="AA4" t="s">
        <v>1049</v>
      </c>
      <c r="AB4" t="s">
        <v>108</v>
      </c>
      <c r="AC4" t="s">
        <v>148</v>
      </c>
      <c r="AD4" t="s">
        <v>1050</v>
      </c>
      <c r="AE4" t="s">
        <v>627</v>
      </c>
      <c r="AM4" t="s">
        <v>93</v>
      </c>
      <c r="AN4" t="s">
        <v>154</v>
      </c>
      <c r="AO4" t="s">
        <v>222</v>
      </c>
      <c r="AP4" t="s">
        <v>1051</v>
      </c>
      <c r="AR4" t="s">
        <v>324</v>
      </c>
      <c r="AS4" t="s">
        <v>112</v>
      </c>
    </row>
    <row r="5" spans="1:45" x14ac:dyDescent="0.3">
      <c r="A5" s="3" t="s">
        <v>802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4">
        <f>SUM(M4:M4)</f>
        <v>1470</v>
      </c>
      <c r="N5" s="3">
        <f>SUM(N4:N4)</f>
        <v>50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</row>
  </sheetData>
  <sheetProtection formatCells="0" formatColumns="0" formatRows="0" insertColumns="0" insertRows="0" insertHyperlinks="0" deleteColumns="0" deleteRows="0" sort="0" autoFilter="0" pivotTables="0"/>
  <autoFilter ref="A3:AS5" xr:uid="{0E5C67E4-602B-46EB-AB11-562B5A955CCE}"/>
  <pageMargins left="0.7" right="0.7" top="0.75" bottom="0.75" header="0.3" footer="0.3"/>
  <pageSetup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17142-4B95-41E6-A3FD-9E9AB36E6363}">
  <dimension ref="A1:BS39"/>
  <sheetViews>
    <sheetView showRuler="0" topLeftCell="A10" zoomScaleNormal="100" workbookViewId="0">
      <selection activeCell="C9" sqref="C9"/>
    </sheetView>
  </sheetViews>
  <sheetFormatPr defaultRowHeight="14.4" x14ac:dyDescent="0.3"/>
  <cols>
    <col min="1" max="1" width="15" customWidth="1"/>
    <col min="2" max="2" width="27" customWidth="1"/>
    <col min="3" max="3" width="14" customWidth="1"/>
    <col min="4" max="4" width="16.44140625" customWidth="1"/>
    <col min="5" max="5" width="25.88671875" customWidth="1"/>
    <col min="6" max="6" width="17.5546875" customWidth="1"/>
    <col min="7" max="7" width="57.6640625" customWidth="1"/>
    <col min="8" max="8" width="63.5546875" customWidth="1"/>
    <col min="9" max="9" width="14" customWidth="1"/>
    <col min="10" max="10" width="25.88671875" customWidth="1"/>
    <col min="11" max="12" width="27" customWidth="1"/>
    <col min="13" max="13" width="15.33203125" customWidth="1"/>
    <col min="14" max="14" width="16.44140625" customWidth="1"/>
    <col min="15" max="15" width="22.21875" customWidth="1"/>
    <col min="16" max="16" width="20" customWidth="1"/>
    <col min="17" max="17" width="74.21875" customWidth="1"/>
    <col min="18" max="19" width="21.109375" customWidth="1"/>
    <col min="20" max="20" width="22.21875" customWidth="1"/>
    <col min="21" max="21" width="24.6640625" customWidth="1"/>
    <col min="22" max="22" width="10.5546875" customWidth="1"/>
    <col min="23" max="23" width="22.21875" customWidth="1"/>
    <col min="24" max="24" width="40" customWidth="1"/>
    <col min="25" max="25" width="18.6640625" customWidth="1"/>
    <col min="26" max="26" width="27" customWidth="1"/>
    <col min="27" max="27" width="50.5546875" customWidth="1"/>
    <col min="28" max="28" width="10.5546875" customWidth="1"/>
    <col min="29" max="29" width="27" customWidth="1"/>
    <col min="30" max="30" width="159.109375" customWidth="1"/>
    <col min="31" max="32" width="17.5546875" customWidth="1"/>
    <col min="33" max="33" width="192.21875" customWidth="1"/>
    <col min="34" max="34" width="27" customWidth="1"/>
    <col min="35" max="35" width="9.33203125" customWidth="1"/>
    <col min="36" max="36" width="18.6640625" customWidth="1"/>
    <col min="37" max="37" width="14" customWidth="1"/>
    <col min="38" max="38" width="76.5546875" customWidth="1"/>
    <col min="39" max="39" width="12.88671875" customWidth="1"/>
    <col min="40" max="40" width="40" customWidth="1"/>
    <col min="41" max="41" width="24.6640625" customWidth="1"/>
    <col min="42" max="42" width="11.6640625" customWidth="1"/>
    <col min="43" max="43" width="51.88671875" customWidth="1"/>
    <col min="44" max="44" width="16.44140625" customWidth="1"/>
    <col min="45" max="45" width="25.88671875" customWidth="1"/>
    <col min="46" max="46" width="73" customWidth="1"/>
    <col min="47" max="47" width="18.6640625" customWidth="1"/>
    <col min="48" max="48" width="10.5546875" customWidth="1"/>
    <col min="49" max="49" width="14" customWidth="1"/>
    <col min="50" max="50" width="9.33203125" customWidth="1"/>
    <col min="51" max="51" width="10.5546875" customWidth="1"/>
    <col min="52" max="52" width="28.109375" customWidth="1"/>
    <col min="53" max="54" width="20" customWidth="1"/>
    <col min="55" max="55" width="50.5546875" customWidth="1"/>
    <col min="56" max="56" width="35.21875" customWidth="1"/>
    <col min="57" max="57" width="8.109375" customWidth="1"/>
    <col min="58" max="58" width="29.44140625" customWidth="1"/>
    <col min="59" max="59" width="25.88671875" customWidth="1"/>
    <col min="60" max="60" width="12.88671875" customWidth="1"/>
    <col min="61" max="61" width="17.5546875" customWidth="1"/>
    <col min="62" max="63" width="23.44140625" customWidth="1"/>
    <col min="64" max="65" width="25.88671875" customWidth="1"/>
    <col min="66" max="66" width="18.6640625" customWidth="1"/>
    <col min="67" max="67" width="12.88671875" customWidth="1"/>
    <col min="68" max="69" width="20" customWidth="1"/>
    <col min="70" max="71" width="18.6640625" customWidth="1"/>
  </cols>
  <sheetData>
    <row r="1" spans="1:71" x14ac:dyDescent="0.3">
      <c r="A1" s="1" t="s">
        <v>1052</v>
      </c>
    </row>
    <row r="3" spans="1:71" x14ac:dyDescent="0.3">
      <c r="A3" s="2" t="s">
        <v>1</v>
      </c>
      <c r="B3" s="2" t="s">
        <v>2</v>
      </c>
      <c r="C3" s="2" t="s">
        <v>40</v>
      </c>
      <c r="D3" s="2" t="s">
        <v>1</v>
      </c>
      <c r="E3" s="2" t="s">
        <v>30</v>
      </c>
      <c r="F3" s="2" t="s">
        <v>1053</v>
      </c>
      <c r="G3" s="2" t="s">
        <v>1054</v>
      </c>
      <c r="H3" s="2" t="s">
        <v>32</v>
      </c>
      <c r="I3" s="2" t="s">
        <v>8</v>
      </c>
      <c r="J3" s="2" t="s">
        <v>9</v>
      </c>
      <c r="K3" s="2" t="s">
        <v>1055</v>
      </c>
      <c r="L3" s="2" t="s">
        <v>1056</v>
      </c>
      <c r="M3" s="2" t="s">
        <v>1057</v>
      </c>
      <c r="N3" s="2" t="s">
        <v>1058</v>
      </c>
      <c r="O3" s="2" t="s">
        <v>1059</v>
      </c>
      <c r="P3" s="2" t="s">
        <v>1060</v>
      </c>
      <c r="Q3" s="2" t="s">
        <v>1061</v>
      </c>
      <c r="R3" s="2" t="s">
        <v>1062</v>
      </c>
      <c r="S3" s="2" t="s">
        <v>1065</v>
      </c>
      <c r="T3" s="2" t="s">
        <v>1068</v>
      </c>
      <c r="U3" s="2" t="s">
        <v>1069</v>
      </c>
      <c r="V3" s="2" t="s">
        <v>1070</v>
      </c>
      <c r="W3" s="2" t="s">
        <v>1071</v>
      </c>
      <c r="X3" s="2" t="s">
        <v>23</v>
      </c>
      <c r="Y3" s="2" t="s">
        <v>24</v>
      </c>
      <c r="Z3" s="2" t="s">
        <v>28</v>
      </c>
      <c r="AA3" s="2" t="s">
        <v>29</v>
      </c>
      <c r="AB3" s="2" t="s">
        <v>852</v>
      </c>
      <c r="AC3" s="2" t="s">
        <v>41</v>
      </c>
      <c r="AD3" s="2" t="s">
        <v>852</v>
      </c>
      <c r="AE3" s="2" t="s">
        <v>1072</v>
      </c>
      <c r="AF3" s="2" t="s">
        <v>1073</v>
      </c>
      <c r="AG3" s="2" t="s">
        <v>1074</v>
      </c>
      <c r="AH3" s="2" t="s">
        <v>1075</v>
      </c>
      <c r="AI3" s="2" t="s">
        <v>56</v>
      </c>
      <c r="AJ3" s="2" t="s">
        <v>1076</v>
      </c>
      <c r="AK3" s="2" t="s">
        <v>1077</v>
      </c>
      <c r="AL3" s="2" t="s">
        <v>57</v>
      </c>
      <c r="AM3" s="2" t="s">
        <v>1078</v>
      </c>
      <c r="AN3" s="2" t="s">
        <v>1079</v>
      </c>
      <c r="AO3" s="2" t="s">
        <v>47</v>
      </c>
      <c r="AP3" s="2" t="s">
        <v>1080</v>
      </c>
      <c r="AQ3" s="2" t="s">
        <v>4</v>
      </c>
      <c r="AR3" s="2" t="s">
        <v>63</v>
      </c>
      <c r="AS3" s="2" t="s">
        <v>22</v>
      </c>
      <c r="AT3" s="2" t="s">
        <v>70</v>
      </c>
      <c r="AU3" s="2" t="s">
        <v>71</v>
      </c>
      <c r="AV3" s="2" t="s">
        <v>72</v>
      </c>
      <c r="AW3" s="2" t="s">
        <v>853</v>
      </c>
      <c r="AX3" s="2" t="s">
        <v>76</v>
      </c>
      <c r="AY3" s="2" t="s">
        <v>77</v>
      </c>
      <c r="AZ3" s="2" t="s">
        <v>5</v>
      </c>
      <c r="BA3" s="2" t="s">
        <v>1081</v>
      </c>
      <c r="BB3" s="2" t="s">
        <v>78</v>
      </c>
      <c r="BC3" s="2" t="s">
        <v>80</v>
      </c>
      <c r="BD3" s="2" t="s">
        <v>81</v>
      </c>
      <c r="BE3" s="2" t="s">
        <v>83</v>
      </c>
      <c r="BF3" s="2" t="s">
        <v>1082</v>
      </c>
      <c r="BG3" s="2" t="s">
        <v>1083</v>
      </c>
      <c r="BH3" s="2" t="s">
        <v>1084</v>
      </c>
      <c r="BI3" s="2" t="s">
        <v>1085</v>
      </c>
      <c r="BJ3" s="2" t="s">
        <v>1086</v>
      </c>
      <c r="BK3" s="2" t="s">
        <v>1087</v>
      </c>
      <c r="BL3" s="2" t="s">
        <v>1088</v>
      </c>
      <c r="BM3" s="2" t="s">
        <v>1089</v>
      </c>
      <c r="BN3" s="2" t="s">
        <v>1090</v>
      </c>
      <c r="BO3" s="2" t="s">
        <v>85</v>
      </c>
      <c r="BP3" s="2" t="s">
        <v>1091</v>
      </c>
      <c r="BQ3" s="2" t="s">
        <v>1092</v>
      </c>
      <c r="BR3" s="2" t="s">
        <v>1093</v>
      </c>
      <c r="BS3" s="2" t="s">
        <v>1094</v>
      </c>
    </row>
    <row r="4" spans="1:71" x14ac:dyDescent="0.3">
      <c r="A4" t="s">
        <v>1117</v>
      </c>
      <c r="B4" t="s">
        <v>1113</v>
      </c>
      <c r="C4">
        <v>44748981</v>
      </c>
      <c r="D4">
        <v>69849233</v>
      </c>
      <c r="E4" t="s">
        <v>1118</v>
      </c>
      <c r="F4" t="s">
        <v>910</v>
      </c>
      <c r="G4" t="s">
        <v>1119</v>
      </c>
      <c r="H4" t="s">
        <v>200</v>
      </c>
      <c r="J4" t="s">
        <v>911</v>
      </c>
      <c r="K4" t="s">
        <v>1096</v>
      </c>
      <c r="L4" t="s">
        <v>1103</v>
      </c>
      <c r="M4">
        <v>1</v>
      </c>
      <c r="N4">
        <v>1</v>
      </c>
      <c r="O4" t="s">
        <v>1120</v>
      </c>
      <c r="P4" t="s">
        <v>630</v>
      </c>
      <c r="Q4" t="s">
        <v>1121</v>
      </c>
      <c r="R4">
        <v>1650</v>
      </c>
      <c r="S4">
        <v>82.5</v>
      </c>
      <c r="T4">
        <v>0</v>
      </c>
      <c r="U4">
        <v>0</v>
      </c>
      <c r="V4">
        <v>66</v>
      </c>
      <c r="W4">
        <v>1667</v>
      </c>
      <c r="X4" t="s">
        <v>914</v>
      </c>
      <c r="Y4" t="s">
        <v>97</v>
      </c>
      <c r="Z4" t="s">
        <v>99</v>
      </c>
      <c r="AA4" t="s">
        <v>141</v>
      </c>
      <c r="AB4" t="s">
        <v>106</v>
      </c>
      <c r="AC4" t="s">
        <v>1113</v>
      </c>
      <c r="AD4" t="s">
        <v>106</v>
      </c>
      <c r="AE4">
        <v>1584</v>
      </c>
      <c r="AF4" t="s">
        <v>1099</v>
      </c>
      <c r="AI4" t="s">
        <v>148</v>
      </c>
      <c r="AJ4" t="s">
        <v>147</v>
      </c>
      <c r="AK4" t="s">
        <v>334</v>
      </c>
      <c r="AL4" t="s">
        <v>109</v>
      </c>
      <c r="AM4" t="s">
        <v>256</v>
      </c>
      <c r="AN4" t="s">
        <v>914</v>
      </c>
      <c r="AP4" t="s">
        <v>1100</v>
      </c>
      <c r="AQ4" t="s">
        <v>210</v>
      </c>
      <c r="AS4">
        <v>0</v>
      </c>
      <c r="AZ4" t="s">
        <v>93</v>
      </c>
      <c r="BA4" t="s">
        <v>1122</v>
      </c>
      <c r="BC4" t="s">
        <v>154</v>
      </c>
      <c r="BD4" t="s">
        <v>147</v>
      </c>
      <c r="BE4" t="s">
        <v>111</v>
      </c>
      <c r="BH4" t="s">
        <v>1101</v>
      </c>
      <c r="BI4" t="s">
        <v>1102</v>
      </c>
      <c r="BJ4" t="s">
        <v>1034</v>
      </c>
      <c r="BK4" t="s">
        <v>529</v>
      </c>
      <c r="BP4" t="s">
        <v>921</v>
      </c>
      <c r="BR4" t="s">
        <v>103</v>
      </c>
    </row>
    <row r="5" spans="1:71" x14ac:dyDescent="0.3">
      <c r="A5" t="s">
        <v>1124</v>
      </c>
      <c r="B5" t="s">
        <v>1113</v>
      </c>
      <c r="C5">
        <v>44724877</v>
      </c>
      <c r="D5">
        <v>69804994</v>
      </c>
      <c r="E5" t="s">
        <v>1125</v>
      </c>
      <c r="F5" t="s">
        <v>312</v>
      </c>
      <c r="G5" t="s">
        <v>1126</v>
      </c>
      <c r="H5" t="s">
        <v>304</v>
      </c>
      <c r="I5">
        <v>3701618</v>
      </c>
      <c r="J5" t="s">
        <v>313</v>
      </c>
      <c r="K5" t="s">
        <v>1127</v>
      </c>
      <c r="L5" t="s">
        <v>1128</v>
      </c>
      <c r="M5">
        <v>1</v>
      </c>
      <c r="N5">
        <v>2</v>
      </c>
      <c r="O5" t="s">
        <v>1129</v>
      </c>
      <c r="P5" t="s">
        <v>262</v>
      </c>
      <c r="Q5" t="s">
        <v>1130</v>
      </c>
      <c r="R5">
        <v>12462.29</v>
      </c>
      <c r="S5">
        <v>623.12</v>
      </c>
      <c r="T5">
        <v>0</v>
      </c>
      <c r="U5">
        <v>0</v>
      </c>
      <c r="V5">
        <v>498</v>
      </c>
      <c r="W5">
        <v>12587</v>
      </c>
      <c r="X5" t="s">
        <v>990</v>
      </c>
      <c r="Y5" t="s">
        <v>97</v>
      </c>
      <c r="Z5" t="s">
        <v>99</v>
      </c>
      <c r="AA5" t="s">
        <v>141</v>
      </c>
      <c r="AB5" t="s">
        <v>106</v>
      </c>
      <c r="AC5" t="s">
        <v>1113</v>
      </c>
      <c r="AD5" t="s">
        <v>106</v>
      </c>
      <c r="AE5">
        <v>11964</v>
      </c>
      <c r="AF5" t="s">
        <v>1099</v>
      </c>
      <c r="AI5" t="s">
        <v>148</v>
      </c>
      <c r="AJ5" t="s">
        <v>147</v>
      </c>
      <c r="AK5" t="s">
        <v>334</v>
      </c>
      <c r="AL5" t="s">
        <v>109</v>
      </c>
      <c r="AM5" t="s">
        <v>190</v>
      </c>
      <c r="AN5" t="s">
        <v>990</v>
      </c>
      <c r="AP5" t="s">
        <v>1100</v>
      </c>
      <c r="AQ5" t="s">
        <v>121</v>
      </c>
      <c r="AS5">
        <v>0</v>
      </c>
      <c r="AZ5" t="s">
        <v>93</v>
      </c>
      <c r="BA5" t="s">
        <v>1131</v>
      </c>
      <c r="BC5" t="s">
        <v>154</v>
      </c>
      <c r="BD5" t="s">
        <v>147</v>
      </c>
      <c r="BE5" t="s">
        <v>111</v>
      </c>
      <c r="BF5" t="s">
        <v>1132</v>
      </c>
      <c r="BH5" t="s">
        <v>1101</v>
      </c>
      <c r="BI5" t="s">
        <v>1102</v>
      </c>
      <c r="BJ5" t="s">
        <v>1034</v>
      </c>
      <c r="BK5" t="s">
        <v>318</v>
      </c>
      <c r="BP5" t="s">
        <v>324</v>
      </c>
      <c r="BR5" t="s">
        <v>112</v>
      </c>
    </row>
    <row r="6" spans="1:71" x14ac:dyDescent="0.3">
      <c r="A6" t="s">
        <v>1133</v>
      </c>
      <c r="B6" t="s">
        <v>831</v>
      </c>
      <c r="C6">
        <v>44759631</v>
      </c>
      <c r="D6">
        <v>69868418</v>
      </c>
      <c r="E6" t="s">
        <v>1134</v>
      </c>
      <c r="F6" t="s">
        <v>338</v>
      </c>
      <c r="G6" t="s">
        <v>1135</v>
      </c>
      <c r="H6" t="s">
        <v>194</v>
      </c>
      <c r="J6" t="s">
        <v>339</v>
      </c>
      <c r="K6" t="s">
        <v>1112</v>
      </c>
      <c r="L6" t="s">
        <v>1136</v>
      </c>
      <c r="M6">
        <v>1</v>
      </c>
      <c r="N6">
        <v>1</v>
      </c>
      <c r="O6" t="s">
        <v>1137</v>
      </c>
      <c r="P6" t="s">
        <v>1138</v>
      </c>
      <c r="Q6" t="s">
        <v>1139</v>
      </c>
      <c r="R6">
        <v>3925</v>
      </c>
      <c r="S6">
        <v>196.25</v>
      </c>
      <c r="T6">
        <v>0</v>
      </c>
      <c r="U6">
        <v>0</v>
      </c>
      <c r="V6">
        <v>157</v>
      </c>
      <c r="W6">
        <v>3964</v>
      </c>
      <c r="X6" t="s">
        <v>948</v>
      </c>
      <c r="Y6" t="s">
        <v>97</v>
      </c>
      <c r="Z6" t="s">
        <v>99</v>
      </c>
      <c r="AA6" t="s">
        <v>141</v>
      </c>
      <c r="AB6" t="s">
        <v>106</v>
      </c>
      <c r="AC6" t="s">
        <v>831</v>
      </c>
      <c r="AD6" t="s">
        <v>106</v>
      </c>
      <c r="AE6">
        <v>3768</v>
      </c>
      <c r="AF6" t="s">
        <v>1099</v>
      </c>
      <c r="AI6" t="s">
        <v>148</v>
      </c>
      <c r="AJ6" t="s">
        <v>147</v>
      </c>
      <c r="AK6" t="s">
        <v>334</v>
      </c>
      <c r="AL6" t="s">
        <v>109</v>
      </c>
      <c r="AM6" t="s">
        <v>195</v>
      </c>
      <c r="AN6" t="s">
        <v>948</v>
      </c>
      <c r="AP6" t="s">
        <v>1100</v>
      </c>
      <c r="AQ6" t="s">
        <v>336</v>
      </c>
      <c r="AS6">
        <v>0</v>
      </c>
      <c r="AZ6" t="s">
        <v>93</v>
      </c>
      <c r="BA6" t="s">
        <v>1140</v>
      </c>
      <c r="BC6" t="s">
        <v>154</v>
      </c>
      <c r="BD6" t="s">
        <v>147</v>
      </c>
      <c r="BE6" t="s">
        <v>111</v>
      </c>
      <c r="BF6" t="s">
        <v>1141</v>
      </c>
      <c r="BH6" t="s">
        <v>1101</v>
      </c>
      <c r="BI6" t="s">
        <v>1102</v>
      </c>
      <c r="BJ6" t="s">
        <v>1036</v>
      </c>
      <c r="BK6" t="s">
        <v>345</v>
      </c>
      <c r="BP6" t="s">
        <v>353</v>
      </c>
      <c r="BR6" t="s">
        <v>103</v>
      </c>
    </row>
    <row r="7" spans="1:71" x14ac:dyDescent="0.3">
      <c r="A7" t="s">
        <v>1142</v>
      </c>
      <c r="B7" t="s">
        <v>831</v>
      </c>
      <c r="C7">
        <v>44725527</v>
      </c>
      <c r="D7">
        <v>69870043</v>
      </c>
      <c r="E7" t="s">
        <v>1143</v>
      </c>
      <c r="F7" t="s">
        <v>357</v>
      </c>
      <c r="G7" t="s">
        <v>1144</v>
      </c>
      <c r="H7" t="s">
        <v>364</v>
      </c>
      <c r="J7" t="s">
        <v>358</v>
      </c>
      <c r="K7" t="s">
        <v>1096</v>
      </c>
      <c r="L7" t="s">
        <v>1110</v>
      </c>
      <c r="M7">
        <v>1</v>
      </c>
      <c r="N7">
        <v>2</v>
      </c>
      <c r="O7" t="s">
        <v>1145</v>
      </c>
      <c r="P7" t="s">
        <v>630</v>
      </c>
      <c r="Q7" t="s">
        <v>1146</v>
      </c>
      <c r="R7">
        <v>7110</v>
      </c>
      <c r="S7">
        <v>355.5</v>
      </c>
      <c r="T7">
        <v>0</v>
      </c>
      <c r="U7">
        <v>0</v>
      </c>
      <c r="V7">
        <v>284</v>
      </c>
      <c r="W7">
        <v>7182</v>
      </c>
      <c r="X7" t="s">
        <v>361</v>
      </c>
      <c r="Y7" t="s">
        <v>97</v>
      </c>
      <c r="Z7" t="s">
        <v>99</v>
      </c>
      <c r="AA7" t="s">
        <v>141</v>
      </c>
      <c r="AB7" t="s">
        <v>106</v>
      </c>
      <c r="AC7" t="s">
        <v>831</v>
      </c>
      <c r="AD7" t="s">
        <v>106</v>
      </c>
      <c r="AE7">
        <v>7182</v>
      </c>
      <c r="AF7" t="s">
        <v>1099</v>
      </c>
      <c r="AI7" t="s">
        <v>148</v>
      </c>
      <c r="AJ7" t="s">
        <v>147</v>
      </c>
      <c r="AK7" t="s">
        <v>334</v>
      </c>
      <c r="AL7" t="s">
        <v>109</v>
      </c>
      <c r="AM7" t="s">
        <v>195</v>
      </c>
      <c r="AN7" t="s">
        <v>361</v>
      </c>
      <c r="AP7" t="s">
        <v>1100</v>
      </c>
      <c r="AQ7" t="s">
        <v>121</v>
      </c>
      <c r="AS7">
        <v>0</v>
      </c>
      <c r="AZ7" t="s">
        <v>93</v>
      </c>
      <c r="BA7" t="s">
        <v>1147</v>
      </c>
      <c r="BC7" t="s">
        <v>154</v>
      </c>
      <c r="BD7" t="s">
        <v>147</v>
      </c>
      <c r="BE7" t="s">
        <v>111</v>
      </c>
      <c r="BH7" t="s">
        <v>1101</v>
      </c>
      <c r="BI7" t="s">
        <v>1102</v>
      </c>
      <c r="BJ7" t="s">
        <v>1036</v>
      </c>
      <c r="BK7" t="s">
        <v>362</v>
      </c>
      <c r="BP7" t="s">
        <v>372</v>
      </c>
      <c r="BR7" t="s">
        <v>103</v>
      </c>
    </row>
    <row r="8" spans="1:71" x14ac:dyDescent="0.3">
      <c r="A8" t="s">
        <v>1148</v>
      </c>
      <c r="B8" t="s">
        <v>831</v>
      </c>
      <c r="C8">
        <v>44767096</v>
      </c>
      <c r="D8">
        <v>69882096</v>
      </c>
      <c r="E8" t="s">
        <v>1149</v>
      </c>
      <c r="F8" t="s">
        <v>886</v>
      </c>
      <c r="G8" t="s">
        <v>1150</v>
      </c>
      <c r="H8" t="s">
        <v>1151</v>
      </c>
      <c r="I8">
        <v>3701618</v>
      </c>
      <c r="J8" t="s">
        <v>213</v>
      </c>
      <c r="K8" t="s">
        <v>1152</v>
      </c>
      <c r="L8" t="s">
        <v>1108</v>
      </c>
      <c r="M8">
        <v>1</v>
      </c>
      <c r="N8">
        <v>2</v>
      </c>
      <c r="O8" t="s">
        <v>93</v>
      </c>
      <c r="P8" t="s">
        <v>108</v>
      </c>
      <c r="Q8" t="s">
        <v>1153</v>
      </c>
      <c r="R8">
        <v>12398</v>
      </c>
      <c r="S8">
        <v>619.9</v>
      </c>
      <c r="T8">
        <v>0</v>
      </c>
      <c r="U8">
        <v>0</v>
      </c>
      <c r="V8">
        <v>495</v>
      </c>
      <c r="W8">
        <v>12523</v>
      </c>
      <c r="X8" t="s">
        <v>826</v>
      </c>
      <c r="Y8" t="s">
        <v>97</v>
      </c>
      <c r="Z8" t="s">
        <v>99</v>
      </c>
      <c r="AA8" t="s">
        <v>141</v>
      </c>
      <c r="AB8" t="s">
        <v>106</v>
      </c>
      <c r="AC8" t="s">
        <v>831</v>
      </c>
      <c r="AD8" t="s">
        <v>106</v>
      </c>
      <c r="AE8">
        <v>11903</v>
      </c>
      <c r="AF8" t="s">
        <v>1099</v>
      </c>
      <c r="AI8" t="s">
        <v>148</v>
      </c>
      <c r="AJ8" t="s">
        <v>222</v>
      </c>
      <c r="AK8" t="s">
        <v>334</v>
      </c>
      <c r="AL8" t="s">
        <v>109</v>
      </c>
      <c r="AM8" t="s">
        <v>190</v>
      </c>
      <c r="AN8" t="s">
        <v>826</v>
      </c>
      <c r="AP8" t="s">
        <v>1100</v>
      </c>
      <c r="AQ8" t="s">
        <v>210</v>
      </c>
      <c r="AS8">
        <v>0</v>
      </c>
      <c r="AZ8" t="s">
        <v>93</v>
      </c>
      <c r="BA8" t="s">
        <v>1154</v>
      </c>
      <c r="BC8" t="s">
        <v>154</v>
      </c>
      <c r="BD8" t="s">
        <v>222</v>
      </c>
      <c r="BE8" t="s">
        <v>111</v>
      </c>
      <c r="BF8" t="s">
        <v>1155</v>
      </c>
      <c r="BH8" t="s">
        <v>1101</v>
      </c>
      <c r="BI8" t="s">
        <v>1102</v>
      </c>
      <c r="BJ8" t="s">
        <v>1036</v>
      </c>
      <c r="BK8" t="s">
        <v>1156</v>
      </c>
      <c r="BP8" t="s">
        <v>224</v>
      </c>
      <c r="BR8" t="s">
        <v>196</v>
      </c>
    </row>
    <row r="9" spans="1:71" x14ac:dyDescent="0.3">
      <c r="A9" t="s">
        <v>1158</v>
      </c>
      <c r="B9" t="s">
        <v>820</v>
      </c>
      <c r="C9">
        <v>44759053</v>
      </c>
      <c r="D9">
        <v>69867347</v>
      </c>
      <c r="E9" t="s">
        <v>1159</v>
      </c>
      <c r="F9" t="s">
        <v>312</v>
      </c>
      <c r="G9" t="s">
        <v>1126</v>
      </c>
      <c r="H9" t="s">
        <v>304</v>
      </c>
      <c r="I9">
        <v>3701618</v>
      </c>
      <c r="J9" t="s">
        <v>313</v>
      </c>
      <c r="K9" t="s">
        <v>1096</v>
      </c>
      <c r="L9" t="s">
        <v>1108</v>
      </c>
      <c r="M9">
        <v>1</v>
      </c>
      <c r="N9">
        <v>2</v>
      </c>
      <c r="O9" t="s">
        <v>1160</v>
      </c>
      <c r="P9" t="s">
        <v>630</v>
      </c>
      <c r="Q9" t="s">
        <v>1161</v>
      </c>
      <c r="R9">
        <v>8550</v>
      </c>
      <c r="S9">
        <v>427.5</v>
      </c>
      <c r="T9">
        <v>0</v>
      </c>
      <c r="U9">
        <v>0</v>
      </c>
      <c r="V9">
        <v>342</v>
      </c>
      <c r="W9">
        <v>8636</v>
      </c>
      <c r="X9" t="s">
        <v>990</v>
      </c>
      <c r="Y9" t="s">
        <v>97</v>
      </c>
      <c r="Z9" t="s">
        <v>99</v>
      </c>
      <c r="AA9" t="s">
        <v>141</v>
      </c>
      <c r="AB9" t="s">
        <v>106</v>
      </c>
      <c r="AC9" t="s">
        <v>1162</v>
      </c>
      <c r="AD9" t="s">
        <v>106</v>
      </c>
      <c r="AE9">
        <v>9600</v>
      </c>
      <c r="AF9" t="s">
        <v>1099</v>
      </c>
      <c r="AI9" t="s">
        <v>148</v>
      </c>
      <c r="AJ9" t="s">
        <v>147</v>
      </c>
      <c r="AK9" t="s">
        <v>334</v>
      </c>
      <c r="AL9" t="s">
        <v>109</v>
      </c>
      <c r="AM9" t="s">
        <v>190</v>
      </c>
      <c r="AN9" t="s">
        <v>990</v>
      </c>
      <c r="AP9" t="s">
        <v>1100</v>
      </c>
      <c r="AQ9" t="s">
        <v>121</v>
      </c>
      <c r="AS9">
        <v>0</v>
      </c>
      <c r="AZ9" t="s">
        <v>93</v>
      </c>
      <c r="BA9" t="s">
        <v>1163</v>
      </c>
      <c r="BC9" t="s">
        <v>154</v>
      </c>
      <c r="BD9" t="s">
        <v>147</v>
      </c>
      <c r="BE9" t="s">
        <v>111</v>
      </c>
      <c r="BH9" t="s">
        <v>1101</v>
      </c>
      <c r="BI9" t="s">
        <v>1102</v>
      </c>
      <c r="BJ9" t="s">
        <v>1036</v>
      </c>
      <c r="BK9" t="s">
        <v>707</v>
      </c>
      <c r="BP9" t="s">
        <v>324</v>
      </c>
      <c r="BR9" t="s">
        <v>112</v>
      </c>
    </row>
    <row r="10" spans="1:71" x14ac:dyDescent="0.3">
      <c r="A10" t="s">
        <v>1165</v>
      </c>
      <c r="B10" t="s">
        <v>843</v>
      </c>
      <c r="C10">
        <v>44829212</v>
      </c>
      <c r="D10">
        <v>69991281</v>
      </c>
      <c r="E10" t="s">
        <v>1166</v>
      </c>
      <c r="F10" t="s">
        <v>502</v>
      </c>
      <c r="G10" t="s">
        <v>1167</v>
      </c>
      <c r="H10" t="s">
        <v>100</v>
      </c>
      <c r="J10" t="s">
        <v>503</v>
      </c>
      <c r="K10" t="s">
        <v>1164</v>
      </c>
      <c r="L10" t="s">
        <v>1168</v>
      </c>
      <c r="M10">
        <v>1</v>
      </c>
      <c r="N10">
        <v>3</v>
      </c>
      <c r="O10" t="s">
        <v>93</v>
      </c>
      <c r="P10" t="s">
        <v>108</v>
      </c>
      <c r="Q10" t="s">
        <v>1169</v>
      </c>
      <c r="R10">
        <v>14522.67</v>
      </c>
      <c r="S10">
        <v>726.12</v>
      </c>
      <c r="T10">
        <v>0</v>
      </c>
      <c r="U10">
        <v>0</v>
      </c>
      <c r="V10">
        <v>580</v>
      </c>
      <c r="W10">
        <v>14669</v>
      </c>
      <c r="X10" t="s">
        <v>1170</v>
      </c>
      <c r="Y10" t="s">
        <v>97</v>
      </c>
      <c r="Z10" t="s">
        <v>99</v>
      </c>
      <c r="AA10" t="s">
        <v>141</v>
      </c>
      <c r="AB10" t="s">
        <v>106</v>
      </c>
      <c r="AC10" t="s">
        <v>843</v>
      </c>
      <c r="AD10" t="s">
        <v>106</v>
      </c>
      <c r="AE10">
        <v>13943</v>
      </c>
      <c r="AF10" t="s">
        <v>1099</v>
      </c>
      <c r="AI10" t="s">
        <v>148</v>
      </c>
      <c r="AJ10" t="s">
        <v>222</v>
      </c>
      <c r="AK10" t="s">
        <v>334</v>
      </c>
      <c r="AL10" t="s">
        <v>109</v>
      </c>
      <c r="AM10" t="s">
        <v>103</v>
      </c>
      <c r="AN10" t="s">
        <v>1170</v>
      </c>
      <c r="AP10" t="s">
        <v>1100</v>
      </c>
      <c r="AQ10" t="s">
        <v>500</v>
      </c>
      <c r="AS10">
        <v>0</v>
      </c>
      <c r="AZ10" t="s">
        <v>93</v>
      </c>
      <c r="BA10" t="s">
        <v>1171</v>
      </c>
      <c r="BC10" t="s">
        <v>154</v>
      </c>
      <c r="BD10" t="s">
        <v>222</v>
      </c>
      <c r="BE10" t="s">
        <v>118</v>
      </c>
      <c r="BF10" t="s">
        <v>1172</v>
      </c>
      <c r="BH10" t="s">
        <v>1101</v>
      </c>
      <c r="BI10" t="s">
        <v>1102</v>
      </c>
      <c r="BJ10" t="s">
        <v>1038</v>
      </c>
      <c r="BK10" t="s">
        <v>1173</v>
      </c>
      <c r="BP10" t="s">
        <v>514</v>
      </c>
      <c r="BR10" t="s">
        <v>196</v>
      </c>
    </row>
    <row r="11" spans="1:71" x14ac:dyDescent="0.3">
      <c r="A11" t="s">
        <v>1179</v>
      </c>
      <c r="B11" t="s">
        <v>827</v>
      </c>
      <c r="C11">
        <v>44858020</v>
      </c>
      <c r="D11">
        <v>70039755</v>
      </c>
      <c r="E11" t="s">
        <v>1180</v>
      </c>
      <c r="F11" t="s">
        <v>585</v>
      </c>
      <c r="G11" t="s">
        <v>1181</v>
      </c>
      <c r="H11" t="s">
        <v>200</v>
      </c>
      <c r="J11" t="s">
        <v>586</v>
      </c>
      <c r="K11" t="s">
        <v>1182</v>
      </c>
      <c r="L11" t="s">
        <v>1183</v>
      </c>
      <c r="M11">
        <v>1</v>
      </c>
      <c r="N11">
        <v>4</v>
      </c>
      <c r="O11" t="s">
        <v>1145</v>
      </c>
      <c r="P11" t="s">
        <v>630</v>
      </c>
      <c r="Q11" t="s">
        <v>1184</v>
      </c>
      <c r="R11">
        <v>13618.53</v>
      </c>
      <c r="S11">
        <v>680.93</v>
      </c>
      <c r="T11">
        <v>0</v>
      </c>
      <c r="U11">
        <v>0</v>
      </c>
      <c r="V11">
        <v>544</v>
      </c>
      <c r="W11">
        <v>13755</v>
      </c>
      <c r="X11" t="s">
        <v>361</v>
      </c>
      <c r="Y11" t="s">
        <v>97</v>
      </c>
      <c r="Z11" t="s">
        <v>99</v>
      </c>
      <c r="AA11" t="s">
        <v>141</v>
      </c>
      <c r="AB11" t="s">
        <v>106</v>
      </c>
      <c r="AC11" t="s">
        <v>827</v>
      </c>
      <c r="AD11" t="s">
        <v>106</v>
      </c>
      <c r="AE11">
        <v>13075</v>
      </c>
      <c r="AF11" t="s">
        <v>1099</v>
      </c>
      <c r="AG11" t="s">
        <v>1185</v>
      </c>
      <c r="AH11" t="s">
        <v>1186</v>
      </c>
      <c r="AI11" t="s">
        <v>148</v>
      </c>
      <c r="AJ11" t="s">
        <v>147</v>
      </c>
      <c r="AK11" t="s">
        <v>334</v>
      </c>
      <c r="AL11" t="s">
        <v>109</v>
      </c>
      <c r="AM11" t="s">
        <v>256</v>
      </c>
      <c r="AN11" t="s">
        <v>361</v>
      </c>
      <c r="AP11" t="s">
        <v>1100</v>
      </c>
      <c r="AQ11" t="s">
        <v>121</v>
      </c>
      <c r="AS11">
        <v>0</v>
      </c>
      <c r="AZ11" t="s">
        <v>93</v>
      </c>
      <c r="BA11" t="s">
        <v>1187</v>
      </c>
      <c r="BC11" t="s">
        <v>154</v>
      </c>
      <c r="BD11" t="s">
        <v>147</v>
      </c>
      <c r="BE11" t="s">
        <v>111</v>
      </c>
      <c r="BH11" t="s">
        <v>1101</v>
      </c>
      <c r="BI11" t="s">
        <v>1102</v>
      </c>
      <c r="BJ11" t="s">
        <v>1037</v>
      </c>
      <c r="BK11" t="s">
        <v>633</v>
      </c>
      <c r="BP11" t="s">
        <v>372</v>
      </c>
      <c r="BR11" t="s">
        <v>103</v>
      </c>
    </row>
    <row r="12" spans="1:71" x14ac:dyDescent="0.3">
      <c r="A12" t="s">
        <v>1189</v>
      </c>
      <c r="B12" t="s">
        <v>1040</v>
      </c>
      <c r="C12">
        <v>44856343</v>
      </c>
      <c r="D12">
        <v>70036749</v>
      </c>
      <c r="E12" t="s">
        <v>1190</v>
      </c>
      <c r="F12" t="s">
        <v>559</v>
      </c>
      <c r="G12" t="s">
        <v>1191</v>
      </c>
      <c r="H12" t="s">
        <v>567</v>
      </c>
      <c r="I12">
        <v>3701618</v>
      </c>
      <c r="J12" t="s">
        <v>560</v>
      </c>
      <c r="K12" t="s">
        <v>1164</v>
      </c>
      <c r="L12" t="s">
        <v>1192</v>
      </c>
      <c r="M12">
        <v>1</v>
      </c>
      <c r="N12">
        <v>2</v>
      </c>
      <c r="O12" t="s">
        <v>1157</v>
      </c>
      <c r="P12" t="s">
        <v>262</v>
      </c>
      <c r="Q12" t="s">
        <v>1193</v>
      </c>
      <c r="R12">
        <v>8001</v>
      </c>
      <c r="S12">
        <v>400.05</v>
      </c>
      <c r="T12">
        <v>0</v>
      </c>
      <c r="U12">
        <v>0</v>
      </c>
      <c r="V12">
        <v>320</v>
      </c>
      <c r="W12">
        <v>8081</v>
      </c>
      <c r="X12" t="s">
        <v>990</v>
      </c>
      <c r="Y12" t="s">
        <v>97</v>
      </c>
      <c r="Z12" t="s">
        <v>99</v>
      </c>
      <c r="AA12" t="s">
        <v>141</v>
      </c>
      <c r="AB12" t="s">
        <v>106</v>
      </c>
      <c r="AC12" t="s">
        <v>827</v>
      </c>
      <c r="AD12" t="s">
        <v>106</v>
      </c>
      <c r="AE12">
        <v>7901</v>
      </c>
      <c r="AF12" t="s">
        <v>1099</v>
      </c>
      <c r="AG12" t="s">
        <v>1194</v>
      </c>
      <c r="AH12" t="s">
        <v>1195</v>
      </c>
      <c r="AI12" t="s">
        <v>148</v>
      </c>
      <c r="AJ12" t="s">
        <v>147</v>
      </c>
      <c r="AK12" t="s">
        <v>334</v>
      </c>
      <c r="AL12" t="s">
        <v>109</v>
      </c>
      <c r="AM12" t="s">
        <v>196</v>
      </c>
      <c r="AN12" t="s">
        <v>990</v>
      </c>
      <c r="AP12" t="s">
        <v>1100</v>
      </c>
      <c r="AQ12" t="s">
        <v>121</v>
      </c>
      <c r="AS12">
        <v>0</v>
      </c>
      <c r="AZ12" t="s">
        <v>93</v>
      </c>
      <c r="BA12" t="s">
        <v>1196</v>
      </c>
      <c r="BC12" t="s">
        <v>154</v>
      </c>
      <c r="BD12" t="s">
        <v>147</v>
      </c>
      <c r="BE12" t="s">
        <v>118</v>
      </c>
      <c r="BF12" t="s">
        <v>1111</v>
      </c>
      <c r="BH12" t="s">
        <v>1101</v>
      </c>
      <c r="BI12" t="s">
        <v>1102</v>
      </c>
      <c r="BJ12" t="s">
        <v>1039</v>
      </c>
      <c r="BK12" t="s">
        <v>565</v>
      </c>
      <c r="BP12" t="s">
        <v>324</v>
      </c>
      <c r="BR12" t="s">
        <v>112</v>
      </c>
    </row>
    <row r="13" spans="1:71" x14ac:dyDescent="0.3">
      <c r="A13" t="s">
        <v>1197</v>
      </c>
      <c r="B13" t="s">
        <v>1040</v>
      </c>
      <c r="C13">
        <v>44875697</v>
      </c>
      <c r="D13">
        <v>70069549</v>
      </c>
      <c r="E13" t="s">
        <v>1198</v>
      </c>
      <c r="F13" t="s">
        <v>1018</v>
      </c>
      <c r="G13" t="s">
        <v>1199</v>
      </c>
      <c r="H13" t="s">
        <v>194</v>
      </c>
      <c r="J13" t="s">
        <v>339</v>
      </c>
      <c r="K13" t="s">
        <v>1114</v>
      </c>
      <c r="L13" t="s">
        <v>1136</v>
      </c>
      <c r="M13">
        <v>1</v>
      </c>
      <c r="N13">
        <v>1</v>
      </c>
      <c r="O13" t="s">
        <v>1200</v>
      </c>
      <c r="P13" t="s">
        <v>1104</v>
      </c>
      <c r="Q13" t="s">
        <v>1201</v>
      </c>
      <c r="R13">
        <v>3445.64</v>
      </c>
      <c r="S13">
        <v>172.28</v>
      </c>
      <c r="T13">
        <v>0</v>
      </c>
      <c r="U13">
        <v>0</v>
      </c>
      <c r="V13">
        <v>137</v>
      </c>
      <c r="W13">
        <v>3481</v>
      </c>
      <c r="X13" t="s">
        <v>948</v>
      </c>
      <c r="Y13" t="s">
        <v>97</v>
      </c>
      <c r="Z13" t="s">
        <v>99</v>
      </c>
      <c r="AA13" t="s">
        <v>141</v>
      </c>
      <c r="AB13" t="s">
        <v>106</v>
      </c>
      <c r="AC13" t="s">
        <v>1040</v>
      </c>
      <c r="AD13" t="s">
        <v>106</v>
      </c>
      <c r="AE13">
        <v>3309</v>
      </c>
      <c r="AF13" t="s">
        <v>1099</v>
      </c>
      <c r="AI13" t="s">
        <v>148</v>
      </c>
      <c r="AJ13" t="s">
        <v>147</v>
      </c>
      <c r="AK13" t="s">
        <v>334</v>
      </c>
      <c r="AL13" t="s">
        <v>109</v>
      </c>
      <c r="AM13" t="s">
        <v>195</v>
      </c>
      <c r="AN13" t="s">
        <v>948</v>
      </c>
      <c r="AP13" t="s">
        <v>1100</v>
      </c>
      <c r="AQ13" t="s">
        <v>336</v>
      </c>
      <c r="AS13">
        <v>0</v>
      </c>
      <c r="AZ13" t="s">
        <v>93</v>
      </c>
      <c r="BA13" t="s">
        <v>1202</v>
      </c>
      <c r="BC13" t="s">
        <v>154</v>
      </c>
      <c r="BD13" t="s">
        <v>147</v>
      </c>
      <c r="BE13" t="s">
        <v>111</v>
      </c>
      <c r="BF13" t="s">
        <v>1203</v>
      </c>
      <c r="BH13" t="s">
        <v>1101</v>
      </c>
      <c r="BI13" t="s">
        <v>1102</v>
      </c>
      <c r="BJ13" t="s">
        <v>1039</v>
      </c>
      <c r="BK13" t="s">
        <v>661</v>
      </c>
      <c r="BP13" t="s">
        <v>353</v>
      </c>
      <c r="BR13" t="s">
        <v>103</v>
      </c>
    </row>
    <row r="14" spans="1:71" x14ac:dyDescent="0.3">
      <c r="A14" t="s">
        <v>1204</v>
      </c>
      <c r="B14" t="s">
        <v>1040</v>
      </c>
      <c r="C14">
        <v>44873126</v>
      </c>
      <c r="D14">
        <v>70065034</v>
      </c>
      <c r="E14" t="s">
        <v>1205</v>
      </c>
      <c r="F14" t="s">
        <v>778</v>
      </c>
      <c r="G14" t="s">
        <v>1206</v>
      </c>
      <c r="H14" t="s">
        <v>194</v>
      </c>
      <c r="J14" t="s">
        <v>339</v>
      </c>
      <c r="K14" t="s">
        <v>1207</v>
      </c>
      <c r="L14" t="s">
        <v>1115</v>
      </c>
      <c r="M14">
        <v>1</v>
      </c>
      <c r="N14">
        <v>1</v>
      </c>
      <c r="O14" t="s">
        <v>1097</v>
      </c>
      <c r="P14" t="s">
        <v>125</v>
      </c>
      <c r="Q14" t="s">
        <v>1208</v>
      </c>
      <c r="R14">
        <v>4742.24</v>
      </c>
      <c r="S14">
        <v>237.11</v>
      </c>
      <c r="T14">
        <v>0</v>
      </c>
      <c r="U14">
        <v>0</v>
      </c>
      <c r="V14">
        <v>189</v>
      </c>
      <c r="W14">
        <v>4790</v>
      </c>
      <c r="X14" t="s">
        <v>617</v>
      </c>
      <c r="Y14" t="s">
        <v>97</v>
      </c>
      <c r="Z14" t="s">
        <v>99</v>
      </c>
      <c r="AA14" t="s">
        <v>141</v>
      </c>
      <c r="AB14" t="s">
        <v>106</v>
      </c>
      <c r="AC14" t="s">
        <v>1040</v>
      </c>
      <c r="AD14" t="s">
        <v>106</v>
      </c>
      <c r="AE14">
        <v>4790</v>
      </c>
      <c r="AF14" t="s">
        <v>1099</v>
      </c>
      <c r="AI14" t="s">
        <v>148</v>
      </c>
      <c r="AJ14" t="s">
        <v>147</v>
      </c>
      <c r="AK14" t="s">
        <v>334</v>
      </c>
      <c r="AL14" t="s">
        <v>109</v>
      </c>
      <c r="AM14" t="s">
        <v>195</v>
      </c>
      <c r="AN14" t="s">
        <v>617</v>
      </c>
      <c r="AP14" t="s">
        <v>1100</v>
      </c>
      <c r="AQ14" t="s">
        <v>336</v>
      </c>
      <c r="AS14">
        <v>0</v>
      </c>
      <c r="AZ14" t="s">
        <v>93</v>
      </c>
      <c r="BA14" t="s">
        <v>1209</v>
      </c>
      <c r="BC14" t="s">
        <v>154</v>
      </c>
      <c r="BD14" t="s">
        <v>147</v>
      </c>
      <c r="BE14" t="s">
        <v>111</v>
      </c>
      <c r="BF14" t="s">
        <v>1210</v>
      </c>
      <c r="BH14" t="s">
        <v>1101</v>
      </c>
      <c r="BI14" t="s">
        <v>1102</v>
      </c>
      <c r="BJ14" t="s">
        <v>1039</v>
      </c>
      <c r="BK14" t="s">
        <v>1211</v>
      </c>
      <c r="BP14" t="s">
        <v>608</v>
      </c>
      <c r="BR14" t="s">
        <v>103</v>
      </c>
    </row>
    <row r="15" spans="1:71" x14ac:dyDescent="0.3">
      <c r="A15" t="s">
        <v>1212</v>
      </c>
      <c r="B15" t="s">
        <v>1042</v>
      </c>
      <c r="C15">
        <v>44881914</v>
      </c>
      <c r="D15">
        <v>70078790</v>
      </c>
      <c r="E15" t="s">
        <v>1213</v>
      </c>
      <c r="F15" t="s">
        <v>608</v>
      </c>
      <c r="G15" t="s">
        <v>1214</v>
      </c>
      <c r="H15" t="s">
        <v>100</v>
      </c>
      <c r="J15" t="s">
        <v>339</v>
      </c>
      <c r="K15" t="s">
        <v>1215</v>
      </c>
      <c r="L15" t="s">
        <v>1115</v>
      </c>
      <c r="M15">
        <v>1</v>
      </c>
      <c r="N15">
        <v>1</v>
      </c>
      <c r="O15" t="s">
        <v>249</v>
      </c>
      <c r="P15" t="s">
        <v>251</v>
      </c>
      <c r="Q15" t="s">
        <v>1216</v>
      </c>
      <c r="R15">
        <v>4701.45</v>
      </c>
      <c r="S15">
        <v>213.7</v>
      </c>
      <c r="T15">
        <v>0</v>
      </c>
      <c r="U15">
        <v>0</v>
      </c>
      <c r="V15">
        <v>170</v>
      </c>
      <c r="W15">
        <v>4745</v>
      </c>
      <c r="X15" t="s">
        <v>280</v>
      </c>
      <c r="Y15" t="s">
        <v>97</v>
      </c>
      <c r="Z15" t="s">
        <v>99</v>
      </c>
      <c r="AA15" t="s">
        <v>141</v>
      </c>
      <c r="AB15" t="s">
        <v>106</v>
      </c>
      <c r="AC15" t="s">
        <v>1042</v>
      </c>
      <c r="AD15" t="s">
        <v>106</v>
      </c>
      <c r="AE15">
        <v>4531</v>
      </c>
      <c r="AF15" t="s">
        <v>1099</v>
      </c>
      <c r="AI15" t="s">
        <v>148</v>
      </c>
      <c r="AJ15" t="s">
        <v>147</v>
      </c>
      <c r="AK15" t="s">
        <v>334</v>
      </c>
      <c r="AL15" t="s">
        <v>109</v>
      </c>
      <c r="AM15" t="s">
        <v>103</v>
      </c>
      <c r="AN15" t="s">
        <v>280</v>
      </c>
      <c r="AP15" t="s">
        <v>1100</v>
      </c>
      <c r="AQ15" t="s">
        <v>336</v>
      </c>
      <c r="AS15">
        <v>0</v>
      </c>
      <c r="AZ15" t="s">
        <v>93</v>
      </c>
      <c r="BA15" t="s">
        <v>1217</v>
      </c>
      <c r="BC15" t="s">
        <v>154</v>
      </c>
      <c r="BD15" t="s">
        <v>147</v>
      </c>
      <c r="BE15" t="s">
        <v>118</v>
      </c>
      <c r="BF15" t="s">
        <v>1105</v>
      </c>
      <c r="BH15" t="s">
        <v>1101</v>
      </c>
      <c r="BI15" t="s">
        <v>1102</v>
      </c>
      <c r="BJ15" t="s">
        <v>1041</v>
      </c>
      <c r="BK15" t="s">
        <v>611</v>
      </c>
      <c r="BP15" t="s">
        <v>270</v>
      </c>
      <c r="BR15" t="s">
        <v>112</v>
      </c>
    </row>
    <row r="16" spans="1:71" x14ac:dyDescent="0.3">
      <c r="A16" t="s">
        <v>1219</v>
      </c>
      <c r="B16" t="s">
        <v>844</v>
      </c>
      <c r="C16">
        <v>44918678</v>
      </c>
      <c r="D16">
        <v>70140834</v>
      </c>
      <c r="E16" t="s">
        <v>1220</v>
      </c>
      <c r="F16" t="s">
        <v>638</v>
      </c>
      <c r="G16" t="s">
        <v>1221</v>
      </c>
      <c r="H16" t="s">
        <v>644</v>
      </c>
      <c r="J16" t="s">
        <v>339</v>
      </c>
      <c r="K16" t="s">
        <v>1222</v>
      </c>
      <c r="L16" t="s">
        <v>1188</v>
      </c>
      <c r="M16">
        <v>1</v>
      </c>
      <c r="N16">
        <v>1</v>
      </c>
      <c r="O16" t="s">
        <v>1223</v>
      </c>
      <c r="P16" t="s">
        <v>108</v>
      </c>
      <c r="Q16" t="s">
        <v>1224</v>
      </c>
      <c r="R16">
        <v>3616.92</v>
      </c>
      <c r="S16">
        <v>180.85</v>
      </c>
      <c r="T16">
        <v>0</v>
      </c>
      <c r="U16">
        <v>0</v>
      </c>
      <c r="V16">
        <v>144</v>
      </c>
      <c r="W16">
        <v>3654</v>
      </c>
      <c r="X16" t="s">
        <v>280</v>
      </c>
      <c r="Y16" t="s">
        <v>97</v>
      </c>
      <c r="Z16" t="s">
        <v>99</v>
      </c>
      <c r="AA16" t="s">
        <v>141</v>
      </c>
      <c r="AB16" t="s">
        <v>106</v>
      </c>
      <c r="AC16" t="s">
        <v>844</v>
      </c>
      <c r="AD16" t="s">
        <v>106</v>
      </c>
      <c r="AE16">
        <v>3473</v>
      </c>
      <c r="AF16" t="s">
        <v>1099</v>
      </c>
      <c r="AI16" t="s">
        <v>148</v>
      </c>
      <c r="AJ16" t="s">
        <v>222</v>
      </c>
      <c r="AK16" t="s">
        <v>334</v>
      </c>
      <c r="AL16" t="s">
        <v>109</v>
      </c>
      <c r="AM16" t="s">
        <v>103</v>
      </c>
      <c r="AN16" t="s">
        <v>280</v>
      </c>
      <c r="AP16" t="s">
        <v>1100</v>
      </c>
      <c r="AQ16" t="s">
        <v>336</v>
      </c>
      <c r="AS16">
        <v>0</v>
      </c>
      <c r="AZ16" t="s">
        <v>93</v>
      </c>
      <c r="BA16" t="s">
        <v>1225</v>
      </c>
      <c r="BC16" t="s">
        <v>154</v>
      </c>
      <c r="BD16" t="s">
        <v>222</v>
      </c>
      <c r="BE16" t="s">
        <v>111</v>
      </c>
      <c r="BH16" t="s">
        <v>1101</v>
      </c>
      <c r="BI16" t="s">
        <v>1102</v>
      </c>
      <c r="BJ16" t="s">
        <v>855</v>
      </c>
      <c r="BK16" t="s">
        <v>554</v>
      </c>
      <c r="BP16" t="s">
        <v>270</v>
      </c>
      <c r="BR16" t="s">
        <v>112</v>
      </c>
    </row>
    <row r="17" spans="1:71" x14ac:dyDescent="0.3">
      <c r="A17" t="s">
        <v>1226</v>
      </c>
      <c r="B17" t="s">
        <v>844</v>
      </c>
      <c r="C17">
        <v>44924021</v>
      </c>
      <c r="D17">
        <v>70148750</v>
      </c>
      <c r="E17" t="s">
        <v>1227</v>
      </c>
      <c r="F17" t="s">
        <v>1228</v>
      </c>
      <c r="G17" t="s">
        <v>1229</v>
      </c>
      <c r="H17" t="s">
        <v>1230</v>
      </c>
      <c r="J17" t="s">
        <v>911</v>
      </c>
      <c r="K17" t="s">
        <v>1207</v>
      </c>
      <c r="L17" t="s">
        <v>1115</v>
      </c>
      <c r="M17">
        <v>1</v>
      </c>
      <c r="N17">
        <v>1</v>
      </c>
      <c r="O17" t="s">
        <v>241</v>
      </c>
      <c r="P17" t="s">
        <v>243</v>
      </c>
      <c r="Q17" t="s">
        <v>1231</v>
      </c>
      <c r="R17">
        <v>2307.65</v>
      </c>
      <c r="S17">
        <v>115.38</v>
      </c>
      <c r="T17">
        <v>0</v>
      </c>
      <c r="U17">
        <v>0</v>
      </c>
      <c r="V17">
        <v>92</v>
      </c>
      <c r="W17">
        <v>2331</v>
      </c>
      <c r="X17" t="s">
        <v>1232</v>
      </c>
      <c r="Y17" t="s">
        <v>97</v>
      </c>
      <c r="Z17" t="s">
        <v>99</v>
      </c>
      <c r="AA17" t="s">
        <v>141</v>
      </c>
      <c r="AB17" t="s">
        <v>106</v>
      </c>
      <c r="AC17" t="s">
        <v>844</v>
      </c>
      <c r="AD17" t="s">
        <v>106</v>
      </c>
      <c r="AE17">
        <v>2216</v>
      </c>
      <c r="AF17" t="s">
        <v>1099</v>
      </c>
      <c r="AI17" t="s">
        <v>148</v>
      </c>
      <c r="AJ17" t="s">
        <v>147</v>
      </c>
      <c r="AK17" t="s">
        <v>334</v>
      </c>
      <c r="AL17" t="s">
        <v>109</v>
      </c>
      <c r="AM17" t="s">
        <v>478</v>
      </c>
      <c r="AN17" t="s">
        <v>1232</v>
      </c>
      <c r="AP17" t="s">
        <v>1100</v>
      </c>
      <c r="AQ17" t="s">
        <v>210</v>
      </c>
      <c r="AS17">
        <v>0</v>
      </c>
      <c r="AZ17" t="s">
        <v>93</v>
      </c>
      <c r="BA17" t="s">
        <v>1233</v>
      </c>
      <c r="BC17" t="s">
        <v>154</v>
      </c>
      <c r="BD17" t="s">
        <v>147</v>
      </c>
      <c r="BE17" t="s">
        <v>111</v>
      </c>
      <c r="BF17" t="s">
        <v>1107</v>
      </c>
      <c r="BH17" t="s">
        <v>1101</v>
      </c>
      <c r="BI17" t="s">
        <v>1102</v>
      </c>
      <c r="BJ17" t="s">
        <v>855</v>
      </c>
      <c r="BK17" t="s">
        <v>632</v>
      </c>
      <c r="BP17" t="s">
        <v>1234</v>
      </c>
      <c r="BR17" t="s">
        <v>256</v>
      </c>
    </row>
    <row r="18" spans="1:71" x14ac:dyDescent="0.3">
      <c r="A18" t="s">
        <v>1235</v>
      </c>
      <c r="B18" t="s">
        <v>844</v>
      </c>
      <c r="C18">
        <v>44932177</v>
      </c>
      <c r="D18">
        <v>70160240</v>
      </c>
      <c r="E18" t="s">
        <v>1236</v>
      </c>
      <c r="F18" t="s">
        <v>665</v>
      </c>
      <c r="G18" t="s">
        <v>1237</v>
      </c>
      <c r="H18" t="s">
        <v>194</v>
      </c>
      <c r="I18">
        <v>3701618</v>
      </c>
      <c r="J18" t="s">
        <v>503</v>
      </c>
      <c r="K18" t="s">
        <v>1128</v>
      </c>
      <c r="L18" t="s">
        <v>1183</v>
      </c>
      <c r="M18">
        <v>1</v>
      </c>
      <c r="N18">
        <v>1</v>
      </c>
      <c r="O18" t="s">
        <v>1238</v>
      </c>
      <c r="P18" t="s">
        <v>299</v>
      </c>
      <c r="Q18" t="s">
        <v>1239</v>
      </c>
      <c r="R18">
        <v>4189.5</v>
      </c>
      <c r="S18">
        <v>209.48</v>
      </c>
      <c r="T18">
        <v>0</v>
      </c>
      <c r="U18">
        <v>0</v>
      </c>
      <c r="V18">
        <v>167</v>
      </c>
      <c r="W18">
        <v>4232</v>
      </c>
      <c r="X18" t="s">
        <v>1170</v>
      </c>
      <c r="Y18" t="s">
        <v>97</v>
      </c>
      <c r="Z18" t="s">
        <v>99</v>
      </c>
      <c r="AA18" t="s">
        <v>141</v>
      </c>
      <c r="AB18" t="s">
        <v>106</v>
      </c>
      <c r="AC18" t="s">
        <v>844</v>
      </c>
      <c r="AD18" t="s">
        <v>106</v>
      </c>
      <c r="AE18">
        <v>4022</v>
      </c>
      <c r="AF18" t="s">
        <v>1099</v>
      </c>
      <c r="AI18" t="s">
        <v>148</v>
      </c>
      <c r="AJ18" t="s">
        <v>147</v>
      </c>
      <c r="AK18" t="s">
        <v>334</v>
      </c>
      <c r="AL18" t="s">
        <v>109</v>
      </c>
      <c r="AM18" t="s">
        <v>195</v>
      </c>
      <c r="AN18" t="s">
        <v>1170</v>
      </c>
      <c r="AP18" t="s">
        <v>1100</v>
      </c>
      <c r="AQ18" t="s">
        <v>663</v>
      </c>
      <c r="AS18">
        <v>0</v>
      </c>
      <c r="AZ18" t="s">
        <v>93</v>
      </c>
      <c r="BA18" t="s">
        <v>1240</v>
      </c>
      <c r="BC18" t="s">
        <v>154</v>
      </c>
      <c r="BD18" t="s">
        <v>147</v>
      </c>
      <c r="BE18" t="s">
        <v>111</v>
      </c>
      <c r="BF18" t="s">
        <v>1123</v>
      </c>
      <c r="BH18" t="s">
        <v>1101</v>
      </c>
      <c r="BI18" t="s">
        <v>1102</v>
      </c>
      <c r="BJ18" t="s">
        <v>855</v>
      </c>
      <c r="BK18" t="s">
        <v>670</v>
      </c>
      <c r="BP18" t="s">
        <v>514</v>
      </c>
      <c r="BR18" t="s">
        <v>196</v>
      </c>
    </row>
    <row r="19" spans="1:71" x14ac:dyDescent="0.3">
      <c r="A19" t="s">
        <v>1242</v>
      </c>
      <c r="B19" t="s">
        <v>842</v>
      </c>
      <c r="C19">
        <v>44946973</v>
      </c>
      <c r="D19">
        <v>70184610</v>
      </c>
      <c r="E19" t="s">
        <v>1243</v>
      </c>
      <c r="F19" t="s">
        <v>559</v>
      </c>
      <c r="G19" t="s">
        <v>1191</v>
      </c>
      <c r="H19" t="s">
        <v>567</v>
      </c>
      <c r="I19">
        <v>3701618</v>
      </c>
      <c r="J19" t="s">
        <v>560</v>
      </c>
      <c r="K19" t="s">
        <v>1244</v>
      </c>
      <c r="L19" t="s">
        <v>1192</v>
      </c>
      <c r="M19">
        <v>1</v>
      </c>
      <c r="N19">
        <v>1</v>
      </c>
      <c r="O19" t="s">
        <v>1245</v>
      </c>
      <c r="P19" t="s">
        <v>262</v>
      </c>
      <c r="Q19" t="s">
        <v>1246</v>
      </c>
      <c r="R19">
        <v>3990.55</v>
      </c>
      <c r="S19">
        <v>199.53</v>
      </c>
      <c r="T19">
        <v>0</v>
      </c>
      <c r="U19">
        <v>0</v>
      </c>
      <c r="V19">
        <v>159</v>
      </c>
      <c r="W19">
        <v>4031</v>
      </c>
      <c r="X19" t="s">
        <v>990</v>
      </c>
      <c r="Y19" t="s">
        <v>97</v>
      </c>
      <c r="Z19" t="s">
        <v>99</v>
      </c>
      <c r="AA19" t="s">
        <v>141</v>
      </c>
      <c r="AB19" t="s">
        <v>106</v>
      </c>
      <c r="AC19" t="s">
        <v>842</v>
      </c>
      <c r="AD19" t="s">
        <v>106</v>
      </c>
      <c r="AE19">
        <v>3832</v>
      </c>
      <c r="AF19" t="s">
        <v>1099</v>
      </c>
      <c r="AI19" t="s">
        <v>148</v>
      </c>
      <c r="AJ19" t="s">
        <v>147</v>
      </c>
      <c r="AK19" t="s">
        <v>334</v>
      </c>
      <c r="AL19" t="s">
        <v>109</v>
      </c>
      <c r="AM19" t="s">
        <v>196</v>
      </c>
      <c r="AN19" t="s">
        <v>990</v>
      </c>
      <c r="AP19" t="s">
        <v>1100</v>
      </c>
      <c r="AQ19" t="s">
        <v>121</v>
      </c>
      <c r="AS19">
        <v>0</v>
      </c>
      <c r="AZ19" t="s">
        <v>93</v>
      </c>
      <c r="BA19" t="s">
        <v>1247</v>
      </c>
      <c r="BC19" t="s">
        <v>154</v>
      </c>
      <c r="BD19" t="s">
        <v>147</v>
      </c>
      <c r="BE19" t="s">
        <v>118</v>
      </c>
      <c r="BF19" t="s">
        <v>1105</v>
      </c>
      <c r="BH19" t="s">
        <v>1101</v>
      </c>
      <c r="BI19" t="s">
        <v>1102</v>
      </c>
      <c r="BJ19" t="s">
        <v>1241</v>
      </c>
      <c r="BK19" t="s">
        <v>681</v>
      </c>
      <c r="BP19" t="s">
        <v>324</v>
      </c>
      <c r="BR19" t="s">
        <v>112</v>
      </c>
    </row>
    <row r="20" spans="1:71" x14ac:dyDescent="0.3">
      <c r="A20" t="s">
        <v>1249</v>
      </c>
      <c r="B20" t="s">
        <v>834</v>
      </c>
      <c r="C20">
        <v>44955250</v>
      </c>
      <c r="D20">
        <v>70195947</v>
      </c>
      <c r="E20" t="s">
        <v>1250</v>
      </c>
      <c r="F20" t="s">
        <v>559</v>
      </c>
      <c r="G20" t="s">
        <v>1191</v>
      </c>
      <c r="H20" t="s">
        <v>567</v>
      </c>
      <c r="I20">
        <v>3701618</v>
      </c>
      <c r="J20" t="s">
        <v>560</v>
      </c>
      <c r="K20" t="s">
        <v>1164</v>
      </c>
      <c r="L20" t="s">
        <v>1248</v>
      </c>
      <c r="M20">
        <v>1</v>
      </c>
      <c r="N20">
        <v>1</v>
      </c>
      <c r="O20" t="s">
        <v>1157</v>
      </c>
      <c r="P20" t="s">
        <v>262</v>
      </c>
      <c r="Q20" t="s">
        <v>1193</v>
      </c>
      <c r="R20">
        <v>4221</v>
      </c>
      <c r="S20">
        <v>211.05</v>
      </c>
      <c r="T20">
        <v>0</v>
      </c>
      <c r="U20">
        <v>0</v>
      </c>
      <c r="V20">
        <v>168</v>
      </c>
      <c r="W20">
        <v>4264</v>
      </c>
      <c r="X20" t="s">
        <v>990</v>
      </c>
      <c r="Y20" t="s">
        <v>97</v>
      </c>
      <c r="Z20" t="s">
        <v>99</v>
      </c>
      <c r="AA20" t="s">
        <v>141</v>
      </c>
      <c r="AB20" t="s">
        <v>106</v>
      </c>
      <c r="AC20" t="s">
        <v>842</v>
      </c>
      <c r="AD20" t="s">
        <v>106</v>
      </c>
      <c r="AE20">
        <v>4053</v>
      </c>
      <c r="AF20" t="s">
        <v>1099</v>
      </c>
      <c r="AI20" t="s">
        <v>148</v>
      </c>
      <c r="AJ20" t="s">
        <v>147</v>
      </c>
      <c r="AK20" t="s">
        <v>334</v>
      </c>
      <c r="AL20" t="s">
        <v>109</v>
      </c>
      <c r="AM20" t="s">
        <v>196</v>
      </c>
      <c r="AN20" t="s">
        <v>990</v>
      </c>
      <c r="AP20" t="s">
        <v>1100</v>
      </c>
      <c r="AQ20" t="s">
        <v>121</v>
      </c>
      <c r="AS20">
        <v>0</v>
      </c>
      <c r="AZ20" t="s">
        <v>93</v>
      </c>
      <c r="BA20" t="s">
        <v>1251</v>
      </c>
      <c r="BC20" t="s">
        <v>154</v>
      </c>
      <c r="BD20" t="s">
        <v>147</v>
      </c>
      <c r="BE20" t="s">
        <v>118</v>
      </c>
      <c r="BF20" t="s">
        <v>1111</v>
      </c>
      <c r="BH20" t="s">
        <v>1101</v>
      </c>
      <c r="BI20" t="s">
        <v>1102</v>
      </c>
      <c r="BJ20" t="s">
        <v>854</v>
      </c>
      <c r="BK20" t="s">
        <v>1252</v>
      </c>
      <c r="BP20" t="s">
        <v>324</v>
      </c>
      <c r="BR20" t="s">
        <v>112</v>
      </c>
    </row>
    <row r="21" spans="1:71" x14ac:dyDescent="0.3">
      <c r="A21" t="s">
        <v>1253</v>
      </c>
      <c r="B21" t="s">
        <v>834</v>
      </c>
      <c r="C21">
        <v>44971476</v>
      </c>
      <c r="D21">
        <v>70220602</v>
      </c>
      <c r="E21" t="s">
        <v>1254</v>
      </c>
      <c r="F21" t="s">
        <v>1018</v>
      </c>
      <c r="G21" t="s">
        <v>1199</v>
      </c>
      <c r="H21" t="s">
        <v>194</v>
      </c>
      <c r="J21" t="s">
        <v>339</v>
      </c>
      <c r="K21" t="s">
        <v>1255</v>
      </c>
      <c r="L21" t="s">
        <v>1192</v>
      </c>
      <c r="M21">
        <v>1</v>
      </c>
      <c r="N21">
        <v>1</v>
      </c>
      <c r="O21" t="s">
        <v>1245</v>
      </c>
      <c r="P21" t="s">
        <v>262</v>
      </c>
      <c r="Q21" t="s">
        <v>1256</v>
      </c>
      <c r="R21">
        <v>4888.13</v>
      </c>
      <c r="S21">
        <v>244.4</v>
      </c>
      <c r="T21">
        <v>0</v>
      </c>
      <c r="U21">
        <v>0</v>
      </c>
      <c r="V21">
        <v>199</v>
      </c>
      <c r="W21">
        <v>4934</v>
      </c>
      <c r="X21" t="s">
        <v>948</v>
      </c>
      <c r="Y21" t="s">
        <v>97</v>
      </c>
      <c r="Z21" t="s">
        <v>99</v>
      </c>
      <c r="AA21" t="s">
        <v>141</v>
      </c>
      <c r="AB21" t="s">
        <v>106</v>
      </c>
      <c r="AC21" t="s">
        <v>834</v>
      </c>
      <c r="AD21" t="s">
        <v>106</v>
      </c>
      <c r="AE21">
        <v>4689</v>
      </c>
      <c r="AF21" t="s">
        <v>1099</v>
      </c>
      <c r="AI21" t="s">
        <v>148</v>
      </c>
      <c r="AJ21" t="s">
        <v>147</v>
      </c>
      <c r="AK21" t="s">
        <v>334</v>
      </c>
      <c r="AL21" t="s">
        <v>109</v>
      </c>
      <c r="AM21" t="s">
        <v>195</v>
      </c>
      <c r="AN21" t="s">
        <v>948</v>
      </c>
      <c r="AP21" t="s">
        <v>1100</v>
      </c>
      <c r="AQ21" t="s">
        <v>336</v>
      </c>
      <c r="AS21">
        <v>0</v>
      </c>
      <c r="AZ21" t="s">
        <v>93</v>
      </c>
      <c r="BA21" t="s">
        <v>1257</v>
      </c>
      <c r="BC21" t="s">
        <v>154</v>
      </c>
      <c r="BD21" t="s">
        <v>147</v>
      </c>
      <c r="BE21" t="s">
        <v>111</v>
      </c>
      <c r="BF21" t="s">
        <v>1109</v>
      </c>
      <c r="BH21" t="s">
        <v>1101</v>
      </c>
      <c r="BI21" t="s">
        <v>1102</v>
      </c>
      <c r="BJ21" t="s">
        <v>854</v>
      </c>
      <c r="BK21" t="s">
        <v>1258</v>
      </c>
      <c r="BP21" t="s">
        <v>353</v>
      </c>
      <c r="BR21" t="s">
        <v>103</v>
      </c>
    </row>
    <row r="22" spans="1:71" x14ac:dyDescent="0.3">
      <c r="A22" t="s">
        <v>1259</v>
      </c>
      <c r="B22" t="s">
        <v>834</v>
      </c>
      <c r="C22">
        <v>44972491</v>
      </c>
      <c r="D22">
        <v>70231766</v>
      </c>
      <c r="E22" t="s">
        <v>1260</v>
      </c>
      <c r="F22" t="s">
        <v>1006</v>
      </c>
      <c r="G22" t="s">
        <v>1261</v>
      </c>
      <c r="H22" t="s">
        <v>100</v>
      </c>
      <c r="J22" t="s">
        <v>1007</v>
      </c>
      <c r="K22" t="s">
        <v>1248</v>
      </c>
      <c r="L22" t="s">
        <v>1262</v>
      </c>
      <c r="M22">
        <v>1</v>
      </c>
      <c r="N22">
        <v>1</v>
      </c>
      <c r="O22" t="s">
        <v>1157</v>
      </c>
      <c r="P22" t="s">
        <v>262</v>
      </c>
      <c r="Q22" t="s">
        <v>1263</v>
      </c>
      <c r="R22">
        <v>3420</v>
      </c>
      <c r="S22">
        <v>171</v>
      </c>
      <c r="T22">
        <v>0</v>
      </c>
      <c r="U22">
        <v>0</v>
      </c>
      <c r="V22">
        <v>136</v>
      </c>
      <c r="W22">
        <v>3455</v>
      </c>
      <c r="X22" t="s">
        <v>1009</v>
      </c>
      <c r="Y22" t="s">
        <v>97</v>
      </c>
      <c r="Z22" t="s">
        <v>99</v>
      </c>
      <c r="AA22" t="s">
        <v>141</v>
      </c>
      <c r="AB22" t="s">
        <v>106</v>
      </c>
      <c r="AC22" t="s">
        <v>834</v>
      </c>
      <c r="AD22" t="s">
        <v>266</v>
      </c>
      <c r="AE22">
        <v>3284</v>
      </c>
      <c r="AF22" t="s">
        <v>1099</v>
      </c>
      <c r="AI22" t="s">
        <v>148</v>
      </c>
      <c r="AJ22" t="s">
        <v>147</v>
      </c>
      <c r="AK22" t="s">
        <v>334</v>
      </c>
      <c r="AL22" t="s">
        <v>109</v>
      </c>
      <c r="AM22" t="s">
        <v>103</v>
      </c>
      <c r="AN22" t="s">
        <v>1009</v>
      </c>
      <c r="AP22" t="s">
        <v>1100</v>
      </c>
      <c r="AQ22" t="s">
        <v>210</v>
      </c>
      <c r="AS22">
        <v>0</v>
      </c>
      <c r="AZ22" t="s">
        <v>93</v>
      </c>
      <c r="BA22" t="s">
        <v>1264</v>
      </c>
      <c r="BC22" t="s">
        <v>154</v>
      </c>
      <c r="BD22" t="s">
        <v>147</v>
      </c>
      <c r="BE22" t="s">
        <v>111</v>
      </c>
      <c r="BH22" t="s">
        <v>1101</v>
      </c>
      <c r="BI22" t="s">
        <v>1102</v>
      </c>
      <c r="BJ22" t="s">
        <v>854</v>
      </c>
      <c r="BK22" t="s">
        <v>555</v>
      </c>
      <c r="BP22" t="s">
        <v>212</v>
      </c>
      <c r="BR22" t="s">
        <v>190</v>
      </c>
    </row>
    <row r="23" spans="1:71" x14ac:dyDescent="0.3">
      <c r="A23" t="s">
        <v>1265</v>
      </c>
      <c r="B23" t="s">
        <v>834</v>
      </c>
      <c r="C23">
        <v>44979006</v>
      </c>
      <c r="D23">
        <v>70232365</v>
      </c>
      <c r="E23" t="s">
        <v>1266</v>
      </c>
      <c r="F23" t="s">
        <v>687</v>
      </c>
      <c r="G23" t="s">
        <v>1267</v>
      </c>
      <c r="H23" t="s">
        <v>194</v>
      </c>
      <c r="I23">
        <v>3701618</v>
      </c>
      <c r="J23" t="s">
        <v>503</v>
      </c>
      <c r="K23" t="s">
        <v>1255</v>
      </c>
      <c r="L23" t="s">
        <v>1268</v>
      </c>
      <c r="M23">
        <v>1</v>
      </c>
      <c r="N23">
        <v>2</v>
      </c>
      <c r="O23" t="s">
        <v>1269</v>
      </c>
      <c r="P23" t="s">
        <v>251</v>
      </c>
      <c r="Q23" t="s">
        <v>1270</v>
      </c>
      <c r="R23">
        <v>9945</v>
      </c>
      <c r="S23">
        <v>497.26</v>
      </c>
      <c r="T23">
        <v>0</v>
      </c>
      <c r="U23">
        <v>0</v>
      </c>
      <c r="V23">
        <v>397</v>
      </c>
      <c r="W23">
        <v>10045</v>
      </c>
      <c r="X23" t="s">
        <v>1170</v>
      </c>
      <c r="Y23" t="s">
        <v>97</v>
      </c>
      <c r="Z23" t="s">
        <v>99</v>
      </c>
      <c r="AA23" t="s">
        <v>141</v>
      </c>
      <c r="AB23" t="s">
        <v>106</v>
      </c>
      <c r="AC23" t="s">
        <v>834</v>
      </c>
      <c r="AD23" t="s">
        <v>106</v>
      </c>
      <c r="AE23">
        <v>10045</v>
      </c>
      <c r="AF23" t="s">
        <v>1099</v>
      </c>
      <c r="AI23" t="s">
        <v>148</v>
      </c>
      <c r="AJ23" t="s">
        <v>147</v>
      </c>
      <c r="AK23" t="s">
        <v>334</v>
      </c>
      <c r="AL23" t="s">
        <v>109</v>
      </c>
      <c r="AM23" t="s">
        <v>195</v>
      </c>
      <c r="AN23" t="s">
        <v>1170</v>
      </c>
      <c r="AP23" t="s">
        <v>1100</v>
      </c>
      <c r="AQ23" t="s">
        <v>663</v>
      </c>
      <c r="AS23">
        <v>0</v>
      </c>
      <c r="AZ23" t="s">
        <v>93</v>
      </c>
      <c r="BA23" t="s">
        <v>1271</v>
      </c>
      <c r="BC23" t="s">
        <v>154</v>
      </c>
      <c r="BD23" t="s">
        <v>147</v>
      </c>
      <c r="BE23" t="s">
        <v>111</v>
      </c>
      <c r="BF23" t="s">
        <v>1105</v>
      </c>
      <c r="BH23" t="s">
        <v>1101</v>
      </c>
      <c r="BI23" t="s">
        <v>1102</v>
      </c>
      <c r="BJ23" t="s">
        <v>854</v>
      </c>
      <c r="BK23" t="s">
        <v>692</v>
      </c>
      <c r="BP23" t="s">
        <v>514</v>
      </c>
      <c r="BR23" t="s">
        <v>196</v>
      </c>
    </row>
    <row r="24" spans="1:71" x14ac:dyDescent="0.3">
      <c r="A24" t="s">
        <v>1272</v>
      </c>
      <c r="B24" t="s">
        <v>834</v>
      </c>
      <c r="C24">
        <v>44986095</v>
      </c>
      <c r="D24">
        <v>70242048</v>
      </c>
      <c r="E24" t="s">
        <v>1273</v>
      </c>
      <c r="F24" t="s">
        <v>665</v>
      </c>
      <c r="G24" t="s">
        <v>1237</v>
      </c>
      <c r="H24" t="s">
        <v>194</v>
      </c>
      <c r="I24">
        <v>3701618</v>
      </c>
      <c r="J24" t="s">
        <v>503</v>
      </c>
      <c r="K24" t="s">
        <v>1115</v>
      </c>
      <c r="L24" t="s">
        <v>1106</v>
      </c>
      <c r="M24">
        <v>1</v>
      </c>
      <c r="N24">
        <v>1</v>
      </c>
      <c r="O24" t="s">
        <v>1238</v>
      </c>
      <c r="P24" t="s">
        <v>299</v>
      </c>
      <c r="Q24" t="s">
        <v>1239</v>
      </c>
      <c r="R24">
        <v>4189.5</v>
      </c>
      <c r="S24">
        <v>209.48</v>
      </c>
      <c r="T24">
        <v>0</v>
      </c>
      <c r="U24">
        <v>0</v>
      </c>
      <c r="V24">
        <v>167</v>
      </c>
      <c r="W24">
        <v>4232</v>
      </c>
      <c r="X24" t="s">
        <v>1170</v>
      </c>
      <c r="Y24" t="s">
        <v>97</v>
      </c>
      <c r="Z24" t="s">
        <v>99</v>
      </c>
      <c r="AA24" t="s">
        <v>141</v>
      </c>
      <c r="AB24" t="s">
        <v>106</v>
      </c>
      <c r="AC24" t="s">
        <v>834</v>
      </c>
      <c r="AD24" t="s">
        <v>106</v>
      </c>
      <c r="AE24">
        <v>4022</v>
      </c>
      <c r="AF24" t="s">
        <v>1099</v>
      </c>
      <c r="AI24" t="s">
        <v>148</v>
      </c>
      <c r="AJ24" t="s">
        <v>147</v>
      </c>
      <c r="AK24" t="s">
        <v>334</v>
      </c>
      <c r="AL24" t="s">
        <v>109</v>
      </c>
      <c r="AM24" t="s">
        <v>195</v>
      </c>
      <c r="AN24" t="s">
        <v>1170</v>
      </c>
      <c r="AP24" t="s">
        <v>1100</v>
      </c>
      <c r="AQ24" t="s">
        <v>663</v>
      </c>
      <c r="AS24">
        <v>0</v>
      </c>
      <c r="AZ24" t="s">
        <v>93</v>
      </c>
      <c r="BA24" t="s">
        <v>1274</v>
      </c>
      <c r="BC24" t="s">
        <v>154</v>
      </c>
      <c r="BD24" t="s">
        <v>147</v>
      </c>
      <c r="BE24" t="s">
        <v>111</v>
      </c>
      <c r="BF24" t="s">
        <v>1123</v>
      </c>
      <c r="BH24" t="s">
        <v>1101</v>
      </c>
      <c r="BI24" t="s">
        <v>1102</v>
      </c>
      <c r="BJ24" t="s">
        <v>854</v>
      </c>
      <c r="BK24" t="s">
        <v>528</v>
      </c>
      <c r="BP24" t="s">
        <v>514</v>
      </c>
      <c r="BR24" t="s">
        <v>196</v>
      </c>
    </row>
    <row r="25" spans="1:71" x14ac:dyDescent="0.3">
      <c r="A25" t="s">
        <v>1276</v>
      </c>
      <c r="B25" t="s">
        <v>850</v>
      </c>
      <c r="C25">
        <v>44990831</v>
      </c>
      <c r="D25">
        <v>70249375</v>
      </c>
      <c r="E25" t="s">
        <v>1277</v>
      </c>
      <c r="F25" t="s">
        <v>224</v>
      </c>
      <c r="G25" t="s">
        <v>1278</v>
      </c>
      <c r="H25" t="s">
        <v>421</v>
      </c>
      <c r="I25">
        <v>3701618</v>
      </c>
      <c r="J25" t="s">
        <v>213</v>
      </c>
      <c r="K25" t="s">
        <v>1164</v>
      </c>
      <c r="L25" t="s">
        <v>1279</v>
      </c>
      <c r="M25">
        <v>1</v>
      </c>
      <c r="N25">
        <v>4</v>
      </c>
      <c r="O25" t="s">
        <v>1129</v>
      </c>
      <c r="P25" t="s">
        <v>262</v>
      </c>
      <c r="Q25" t="s">
        <v>1280</v>
      </c>
      <c r="R25">
        <v>23501.1</v>
      </c>
      <c r="S25">
        <v>1175.05</v>
      </c>
      <c r="T25">
        <v>0</v>
      </c>
      <c r="U25">
        <v>0</v>
      </c>
      <c r="V25">
        <v>940</v>
      </c>
      <c r="W25">
        <v>23736</v>
      </c>
      <c r="X25" t="s">
        <v>280</v>
      </c>
      <c r="Y25" t="s">
        <v>97</v>
      </c>
      <c r="Z25" t="s">
        <v>99</v>
      </c>
      <c r="AA25" t="s">
        <v>141</v>
      </c>
      <c r="AB25" t="s">
        <v>106</v>
      </c>
      <c r="AC25" t="s">
        <v>828</v>
      </c>
      <c r="AD25" t="s">
        <v>106</v>
      </c>
      <c r="AE25">
        <v>22561</v>
      </c>
      <c r="AF25" t="s">
        <v>1099</v>
      </c>
      <c r="AI25" t="s">
        <v>148</v>
      </c>
      <c r="AJ25" t="s">
        <v>147</v>
      </c>
      <c r="AK25" t="s">
        <v>334</v>
      </c>
      <c r="AL25" t="s">
        <v>109</v>
      </c>
      <c r="AM25" t="s">
        <v>196</v>
      </c>
      <c r="AN25" t="s">
        <v>280</v>
      </c>
      <c r="AP25" t="s">
        <v>1100</v>
      </c>
      <c r="AQ25" t="s">
        <v>210</v>
      </c>
      <c r="AS25">
        <v>0</v>
      </c>
      <c r="AZ25" t="s">
        <v>93</v>
      </c>
      <c r="BA25" t="s">
        <v>1281</v>
      </c>
      <c r="BC25" t="s">
        <v>154</v>
      </c>
      <c r="BD25" t="s">
        <v>147</v>
      </c>
      <c r="BE25" t="s">
        <v>111</v>
      </c>
      <c r="BF25" t="s">
        <v>1282</v>
      </c>
      <c r="BH25" t="s">
        <v>1101</v>
      </c>
      <c r="BI25" t="s">
        <v>1102</v>
      </c>
      <c r="BJ25" t="s">
        <v>1283</v>
      </c>
      <c r="BK25" t="s">
        <v>1284</v>
      </c>
      <c r="BP25" t="s">
        <v>270</v>
      </c>
      <c r="BR25" t="s">
        <v>112</v>
      </c>
    </row>
    <row r="26" spans="1:71" x14ac:dyDescent="0.3">
      <c r="A26" t="s">
        <v>1285</v>
      </c>
      <c r="B26" t="s">
        <v>851</v>
      </c>
      <c r="C26">
        <v>44999935</v>
      </c>
      <c r="D26">
        <v>70263460</v>
      </c>
      <c r="E26" t="s">
        <v>1286</v>
      </c>
      <c r="F26" t="s">
        <v>753</v>
      </c>
      <c r="G26" t="s">
        <v>1287</v>
      </c>
      <c r="H26" t="s">
        <v>100</v>
      </c>
      <c r="J26" t="s">
        <v>213</v>
      </c>
      <c r="K26" t="s">
        <v>1255</v>
      </c>
      <c r="L26" t="s">
        <v>1279</v>
      </c>
      <c r="M26">
        <v>1</v>
      </c>
      <c r="N26">
        <v>3</v>
      </c>
      <c r="O26" t="s">
        <v>1129</v>
      </c>
      <c r="P26" t="s">
        <v>262</v>
      </c>
      <c r="Q26" t="s">
        <v>1280</v>
      </c>
      <c r="R26">
        <v>14577.75</v>
      </c>
      <c r="S26">
        <v>728.88</v>
      </c>
      <c r="T26">
        <v>0</v>
      </c>
      <c r="U26">
        <v>0</v>
      </c>
      <c r="V26">
        <v>583</v>
      </c>
      <c r="W26">
        <v>14724</v>
      </c>
      <c r="X26" t="s">
        <v>1009</v>
      </c>
      <c r="Y26" t="s">
        <v>97</v>
      </c>
      <c r="Z26" t="s">
        <v>99</v>
      </c>
      <c r="AA26" t="s">
        <v>141</v>
      </c>
      <c r="AB26" t="s">
        <v>106</v>
      </c>
      <c r="AC26" t="s">
        <v>828</v>
      </c>
      <c r="AD26" t="s">
        <v>106</v>
      </c>
      <c r="AE26">
        <v>13995</v>
      </c>
      <c r="AF26" t="s">
        <v>1099</v>
      </c>
      <c r="AI26" t="s">
        <v>148</v>
      </c>
      <c r="AJ26" t="s">
        <v>147</v>
      </c>
      <c r="AK26" t="s">
        <v>334</v>
      </c>
      <c r="AL26" t="s">
        <v>109</v>
      </c>
      <c r="AM26" t="s">
        <v>103</v>
      </c>
      <c r="AN26" t="s">
        <v>1009</v>
      </c>
      <c r="AP26" t="s">
        <v>1100</v>
      </c>
      <c r="AQ26" t="s">
        <v>210</v>
      </c>
      <c r="AS26">
        <v>0</v>
      </c>
      <c r="AZ26" t="s">
        <v>93</v>
      </c>
      <c r="BA26" t="s">
        <v>1288</v>
      </c>
      <c r="BC26" t="s">
        <v>154</v>
      </c>
      <c r="BD26" t="s">
        <v>147</v>
      </c>
      <c r="BE26" t="s">
        <v>111</v>
      </c>
      <c r="BF26" t="s">
        <v>1282</v>
      </c>
      <c r="BH26" t="s">
        <v>1101</v>
      </c>
      <c r="BI26" t="s">
        <v>1102</v>
      </c>
      <c r="BJ26" t="s">
        <v>1289</v>
      </c>
      <c r="BK26" t="s">
        <v>467</v>
      </c>
      <c r="BP26" t="s">
        <v>212</v>
      </c>
      <c r="BR26" t="s">
        <v>190</v>
      </c>
    </row>
    <row r="27" spans="1:71" x14ac:dyDescent="0.3">
      <c r="A27" t="s">
        <v>1290</v>
      </c>
      <c r="B27" t="s">
        <v>847</v>
      </c>
      <c r="C27">
        <v>45014017</v>
      </c>
      <c r="D27">
        <v>70284472</v>
      </c>
      <c r="E27" t="s">
        <v>1291</v>
      </c>
      <c r="F27" t="s">
        <v>778</v>
      </c>
      <c r="G27" t="s">
        <v>1206</v>
      </c>
      <c r="H27" t="s">
        <v>194</v>
      </c>
      <c r="J27" t="s">
        <v>339</v>
      </c>
      <c r="K27" t="s">
        <v>1275</v>
      </c>
      <c r="L27" t="s">
        <v>1218</v>
      </c>
      <c r="M27">
        <v>1</v>
      </c>
      <c r="N27">
        <v>3</v>
      </c>
      <c r="O27" t="s">
        <v>1116</v>
      </c>
      <c r="P27" t="s">
        <v>260</v>
      </c>
      <c r="Q27" t="s">
        <v>1292</v>
      </c>
      <c r="R27">
        <v>12653.15</v>
      </c>
      <c r="S27">
        <v>632.65</v>
      </c>
      <c r="T27">
        <v>0</v>
      </c>
      <c r="U27">
        <v>0</v>
      </c>
      <c r="V27">
        <v>506</v>
      </c>
      <c r="W27">
        <v>12780</v>
      </c>
      <c r="X27" t="s">
        <v>617</v>
      </c>
      <c r="Y27" t="s">
        <v>97</v>
      </c>
      <c r="Z27" t="s">
        <v>99</v>
      </c>
      <c r="AA27" t="s">
        <v>141</v>
      </c>
      <c r="AB27" t="s">
        <v>106</v>
      </c>
      <c r="AC27" t="s">
        <v>1293</v>
      </c>
      <c r="AD27" t="s">
        <v>106</v>
      </c>
      <c r="AE27">
        <v>9850</v>
      </c>
      <c r="AF27" t="s">
        <v>1099</v>
      </c>
      <c r="AI27" t="s">
        <v>148</v>
      </c>
      <c r="AJ27" t="s">
        <v>147</v>
      </c>
      <c r="AK27" t="s">
        <v>334</v>
      </c>
      <c r="AL27" t="s">
        <v>109</v>
      </c>
      <c r="AM27" t="s">
        <v>195</v>
      </c>
      <c r="AN27" t="s">
        <v>617</v>
      </c>
      <c r="AP27" t="s">
        <v>1100</v>
      </c>
      <c r="AQ27" t="s">
        <v>336</v>
      </c>
      <c r="AS27">
        <v>0</v>
      </c>
      <c r="AZ27" t="s">
        <v>93</v>
      </c>
      <c r="BA27" t="s">
        <v>1294</v>
      </c>
      <c r="BC27" t="s">
        <v>154</v>
      </c>
      <c r="BD27" t="s">
        <v>147</v>
      </c>
      <c r="BE27" t="s">
        <v>111</v>
      </c>
      <c r="BF27" t="s">
        <v>1123</v>
      </c>
      <c r="BH27" t="s">
        <v>1101</v>
      </c>
      <c r="BI27" t="s">
        <v>1102</v>
      </c>
      <c r="BJ27" t="s">
        <v>1043</v>
      </c>
      <c r="BK27" t="s">
        <v>783</v>
      </c>
      <c r="BP27" t="s">
        <v>608</v>
      </c>
      <c r="BR27" t="s">
        <v>103</v>
      </c>
    </row>
    <row r="28" spans="1:71" x14ac:dyDescent="0.3">
      <c r="A28" t="s">
        <v>1295</v>
      </c>
      <c r="B28" t="s">
        <v>847</v>
      </c>
      <c r="C28">
        <v>45057696</v>
      </c>
      <c r="D28">
        <v>70349989</v>
      </c>
      <c r="E28" t="s">
        <v>1296</v>
      </c>
      <c r="F28" t="s">
        <v>608</v>
      </c>
      <c r="G28" t="s">
        <v>1214</v>
      </c>
      <c r="H28" t="s">
        <v>100</v>
      </c>
      <c r="J28" t="s">
        <v>339</v>
      </c>
      <c r="K28" t="s">
        <v>1192</v>
      </c>
      <c r="L28" t="s">
        <v>1297</v>
      </c>
      <c r="M28">
        <v>1</v>
      </c>
      <c r="N28">
        <v>2</v>
      </c>
      <c r="O28" t="s">
        <v>1116</v>
      </c>
      <c r="P28" t="s">
        <v>260</v>
      </c>
      <c r="Q28" t="s">
        <v>1298</v>
      </c>
      <c r="R28">
        <v>7839.22</v>
      </c>
      <c r="S28">
        <v>391.96</v>
      </c>
      <c r="T28">
        <v>0</v>
      </c>
      <c r="U28">
        <v>0</v>
      </c>
      <c r="V28">
        <v>352</v>
      </c>
      <c r="W28">
        <v>7879</v>
      </c>
      <c r="X28" t="s">
        <v>280</v>
      </c>
      <c r="Y28" t="s">
        <v>97</v>
      </c>
      <c r="Z28" t="s">
        <v>99</v>
      </c>
      <c r="AA28" t="s">
        <v>141</v>
      </c>
      <c r="AB28" t="s">
        <v>106</v>
      </c>
      <c r="AC28" t="s">
        <v>847</v>
      </c>
      <c r="AD28" t="s">
        <v>106</v>
      </c>
      <c r="AE28">
        <v>7487</v>
      </c>
      <c r="AF28" t="s">
        <v>1099</v>
      </c>
      <c r="AG28" t="s">
        <v>1299</v>
      </c>
      <c r="AH28" t="s">
        <v>1300</v>
      </c>
      <c r="AI28" t="s">
        <v>148</v>
      </c>
      <c r="AJ28" t="s">
        <v>147</v>
      </c>
      <c r="AK28" t="s">
        <v>334</v>
      </c>
      <c r="AL28" t="s">
        <v>109</v>
      </c>
      <c r="AM28" t="s">
        <v>103</v>
      </c>
      <c r="AN28" t="s">
        <v>280</v>
      </c>
      <c r="AP28" t="s">
        <v>1100</v>
      </c>
      <c r="AQ28" t="s">
        <v>336</v>
      </c>
      <c r="AS28">
        <v>0</v>
      </c>
      <c r="AZ28" t="s">
        <v>93</v>
      </c>
      <c r="BA28" t="s">
        <v>1301</v>
      </c>
      <c r="BC28" t="s">
        <v>154</v>
      </c>
      <c r="BD28" t="s">
        <v>147</v>
      </c>
      <c r="BE28" t="s">
        <v>118</v>
      </c>
      <c r="BH28" t="s">
        <v>1101</v>
      </c>
      <c r="BI28" t="s">
        <v>1102</v>
      </c>
      <c r="BJ28" t="s">
        <v>1043</v>
      </c>
      <c r="BK28" t="s">
        <v>300</v>
      </c>
      <c r="BP28" t="s">
        <v>270</v>
      </c>
      <c r="BR28" t="s">
        <v>112</v>
      </c>
    </row>
    <row r="29" spans="1:71" x14ac:dyDescent="0.3">
      <c r="A29" s="3" t="s">
        <v>802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4">
        <f>SUM(W4:W28)</f>
        <v>196377</v>
      </c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</row>
    <row r="39" spans="1:32" x14ac:dyDescent="0.3">
      <c r="A39" t="s">
        <v>1174</v>
      </c>
      <c r="B39" t="s">
        <v>843</v>
      </c>
      <c r="C39">
        <v>44833854</v>
      </c>
      <c r="D39">
        <v>69999151</v>
      </c>
      <c r="E39" t="s">
        <v>1175</v>
      </c>
      <c r="F39" t="s">
        <v>531</v>
      </c>
      <c r="G39" t="s">
        <v>1176</v>
      </c>
      <c r="H39" t="s">
        <v>538</v>
      </c>
      <c r="I39">
        <v>3701618</v>
      </c>
      <c r="J39" t="s">
        <v>532</v>
      </c>
      <c r="K39" t="s">
        <v>1177</v>
      </c>
      <c r="L39" t="s">
        <v>1115</v>
      </c>
      <c r="M39">
        <v>1</v>
      </c>
      <c r="N39">
        <v>4</v>
      </c>
      <c r="O39" t="s">
        <v>1097</v>
      </c>
      <c r="P39" t="s">
        <v>125</v>
      </c>
      <c r="Q39" t="s">
        <v>1098</v>
      </c>
      <c r="R39">
        <v>16190.09</v>
      </c>
      <c r="S39">
        <v>809.5</v>
      </c>
      <c r="T39">
        <v>0</v>
      </c>
      <c r="U39">
        <v>0</v>
      </c>
      <c r="V39">
        <v>647</v>
      </c>
      <c r="W39">
        <v>16353</v>
      </c>
      <c r="X39" t="s">
        <v>1178</v>
      </c>
      <c r="Y39" t="s">
        <v>97</v>
      </c>
      <c r="Z39" t="s">
        <v>99</v>
      </c>
      <c r="AA39" t="s">
        <v>308</v>
      </c>
      <c r="AB39" t="s">
        <v>106</v>
      </c>
      <c r="AC39" t="s">
        <v>843</v>
      </c>
      <c r="AD39" t="s">
        <v>106</v>
      </c>
      <c r="AE39">
        <v>16353</v>
      </c>
      <c r="AF39" t="s">
        <v>1099</v>
      </c>
    </row>
  </sheetData>
  <sheetProtection formatCells="0" formatColumns="0" formatRows="0" insertColumns="0" insertRows="0" insertHyperlinks="0" deleteColumns="0" deleteRows="0" sort="0" autoFilter="0" pivotTables="0"/>
  <autoFilter ref="A3:BS29" xr:uid="{DF817142-4B95-41E6-A3FD-9E9AB36E6363}"/>
  <conditionalFormatting sqref="A1:A1048576">
    <cfRule type="duplicateValues" dxfId="8" priority="15" stopIfTrue="1"/>
  </conditionalFormatting>
  <pageMargins left="0.7" right="0.7" top="0.75" bottom="0.75" header="0.3" footer="0.3"/>
  <pageSetup orientation="portrait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08227-2DF4-4E5A-864D-DCCE07B2F234}">
  <dimension ref="A1:M115"/>
  <sheetViews>
    <sheetView workbookViewId="0">
      <selection activeCell="L1" sqref="A1:L1"/>
    </sheetView>
  </sheetViews>
  <sheetFormatPr defaultRowHeight="14.4" x14ac:dyDescent="0.3"/>
  <cols>
    <col min="1" max="1" width="31.109375" bestFit="1" customWidth="1"/>
    <col min="2" max="2" width="11.44140625" bestFit="1" customWidth="1"/>
    <col min="3" max="3" width="14.5546875" bestFit="1" customWidth="1"/>
    <col min="4" max="4" width="14.33203125" customWidth="1"/>
    <col min="5" max="5" width="18.33203125" bestFit="1" customWidth="1"/>
    <col min="6" max="6" width="102" bestFit="1" customWidth="1"/>
    <col min="7" max="7" width="9.44140625" bestFit="1" customWidth="1"/>
    <col min="8" max="8" width="18.21875" bestFit="1" customWidth="1"/>
    <col min="9" max="9" width="15.21875" bestFit="1" customWidth="1"/>
    <col min="11" max="12" width="18.33203125" bestFit="1" customWidth="1"/>
  </cols>
  <sheetData>
    <row r="1" spans="1:12" x14ac:dyDescent="0.3">
      <c r="A1" s="20" t="s">
        <v>1386</v>
      </c>
      <c r="B1" s="20" t="s">
        <v>1387</v>
      </c>
      <c r="C1" s="20" t="s">
        <v>1391</v>
      </c>
      <c r="D1" s="20" t="s">
        <v>1392</v>
      </c>
      <c r="E1" s="20" t="s">
        <v>76</v>
      </c>
      <c r="F1" s="20" t="s">
        <v>1394</v>
      </c>
      <c r="G1" s="20" t="s">
        <v>1395</v>
      </c>
      <c r="H1" s="20" t="s">
        <v>1384</v>
      </c>
      <c r="I1" s="20" t="s">
        <v>1414</v>
      </c>
      <c r="K1" s="25" t="s">
        <v>1528</v>
      </c>
      <c r="L1" s="25" t="s">
        <v>1529</v>
      </c>
    </row>
    <row r="2" spans="1:12" x14ac:dyDescent="0.3">
      <c r="A2" s="21" t="s">
        <v>833</v>
      </c>
      <c r="B2" s="21" t="s">
        <v>224</v>
      </c>
      <c r="C2" t="s">
        <v>832</v>
      </c>
      <c r="D2" s="23">
        <v>46253</v>
      </c>
      <c r="E2" t="s">
        <v>1415</v>
      </c>
      <c r="F2" s="21" t="s">
        <v>1425</v>
      </c>
      <c r="G2" t="s">
        <v>1403</v>
      </c>
      <c r="H2" t="s">
        <v>1399</v>
      </c>
      <c r="I2">
        <v>975</v>
      </c>
      <c r="K2" t="s">
        <v>1415</v>
      </c>
      <c r="L2" s="24" t="s">
        <v>213</v>
      </c>
    </row>
    <row r="3" spans="1:12" x14ac:dyDescent="0.3">
      <c r="A3" s="22" t="s">
        <v>833</v>
      </c>
      <c r="B3" s="21" t="s">
        <v>224</v>
      </c>
      <c r="C3" t="s">
        <v>845</v>
      </c>
      <c r="D3" s="23">
        <v>46264</v>
      </c>
      <c r="E3" t="s">
        <v>1415</v>
      </c>
      <c r="F3" s="21" t="s">
        <v>1426</v>
      </c>
      <c r="G3" t="s">
        <v>1403</v>
      </c>
      <c r="H3" t="s">
        <v>1399</v>
      </c>
      <c r="I3">
        <v>225</v>
      </c>
      <c r="K3" t="s">
        <v>1415</v>
      </c>
      <c r="L3" s="24" t="s">
        <v>213</v>
      </c>
    </row>
    <row r="4" spans="1:12" x14ac:dyDescent="0.3">
      <c r="A4" s="21" t="s">
        <v>356</v>
      </c>
      <c r="B4" s="21" t="s">
        <v>357</v>
      </c>
      <c r="C4" t="s">
        <v>355</v>
      </c>
      <c r="D4" s="23">
        <v>46252</v>
      </c>
      <c r="E4" t="s">
        <v>1416</v>
      </c>
      <c r="F4" s="21" t="s">
        <v>1427</v>
      </c>
      <c r="G4" t="s">
        <v>1403</v>
      </c>
      <c r="H4" t="s">
        <v>1399</v>
      </c>
      <c r="I4">
        <v>14752</v>
      </c>
      <c r="K4" t="s">
        <v>1416</v>
      </c>
      <c r="L4" s="24" t="s">
        <v>358</v>
      </c>
    </row>
    <row r="5" spans="1:12" x14ac:dyDescent="0.3">
      <c r="A5" s="21" t="s">
        <v>356</v>
      </c>
      <c r="B5" s="21" t="s">
        <v>357</v>
      </c>
      <c r="C5" t="s">
        <v>385</v>
      </c>
      <c r="D5" s="23">
        <v>46252</v>
      </c>
      <c r="E5" t="s">
        <v>1416</v>
      </c>
      <c r="F5" s="21" t="s">
        <v>1428</v>
      </c>
      <c r="G5" t="s">
        <v>1403</v>
      </c>
      <c r="H5" t="s">
        <v>1399</v>
      </c>
      <c r="I5">
        <v>6786</v>
      </c>
      <c r="K5" t="s">
        <v>1416</v>
      </c>
      <c r="L5" s="24" t="s">
        <v>358</v>
      </c>
    </row>
    <row r="6" spans="1:12" x14ac:dyDescent="0.3">
      <c r="A6" s="21" t="s">
        <v>356</v>
      </c>
      <c r="B6" s="21" t="s">
        <v>357</v>
      </c>
      <c r="C6" t="s">
        <v>396</v>
      </c>
      <c r="D6" s="23">
        <v>46252</v>
      </c>
      <c r="E6" t="s">
        <v>1416</v>
      </c>
      <c r="F6" s="21" t="s">
        <v>1429</v>
      </c>
      <c r="G6" t="s">
        <v>1403</v>
      </c>
      <c r="H6" t="s">
        <v>1399</v>
      </c>
      <c r="I6">
        <v>7743</v>
      </c>
      <c r="K6" t="s">
        <v>1416</v>
      </c>
      <c r="L6" s="24" t="s">
        <v>358</v>
      </c>
    </row>
    <row r="7" spans="1:12" x14ac:dyDescent="0.3">
      <c r="A7" s="21" t="s">
        <v>356</v>
      </c>
      <c r="B7" s="21" t="s">
        <v>357</v>
      </c>
      <c r="C7" t="s">
        <v>373</v>
      </c>
      <c r="D7" s="23">
        <v>46252</v>
      </c>
      <c r="E7" t="s">
        <v>1416</v>
      </c>
      <c r="F7" s="21" t="s">
        <v>1430</v>
      </c>
      <c r="G7" t="s">
        <v>1403</v>
      </c>
      <c r="H7" t="s">
        <v>1399</v>
      </c>
      <c r="I7">
        <v>8526</v>
      </c>
      <c r="K7" t="s">
        <v>1416</v>
      </c>
      <c r="L7" s="24" t="s">
        <v>358</v>
      </c>
    </row>
    <row r="8" spans="1:12" x14ac:dyDescent="0.3">
      <c r="A8" s="21" t="s">
        <v>356</v>
      </c>
      <c r="B8" s="21" t="s">
        <v>357</v>
      </c>
      <c r="C8" t="s">
        <v>407</v>
      </c>
      <c r="D8" s="23">
        <v>46253</v>
      </c>
      <c r="E8" t="s">
        <v>1416</v>
      </c>
      <c r="F8" s="21" t="s">
        <v>1430</v>
      </c>
      <c r="G8" t="s">
        <v>1403</v>
      </c>
      <c r="H8" t="s">
        <v>1399</v>
      </c>
      <c r="I8">
        <v>10099</v>
      </c>
      <c r="K8" t="s">
        <v>1416</v>
      </c>
      <c r="L8" s="24" t="s">
        <v>358</v>
      </c>
    </row>
    <row r="9" spans="1:12" x14ac:dyDescent="0.3">
      <c r="A9" s="22" t="s">
        <v>356</v>
      </c>
      <c r="B9" s="21" t="s">
        <v>357</v>
      </c>
      <c r="C9" t="s">
        <v>1142</v>
      </c>
      <c r="D9" s="23">
        <v>46252</v>
      </c>
      <c r="E9" t="s">
        <v>1416</v>
      </c>
      <c r="F9" s="21" t="s">
        <v>1432</v>
      </c>
      <c r="G9" t="s">
        <v>1403</v>
      </c>
      <c r="H9" t="s">
        <v>1399</v>
      </c>
      <c r="I9">
        <v>7182</v>
      </c>
      <c r="K9" t="s">
        <v>1416</v>
      </c>
      <c r="L9" s="24" t="s">
        <v>358</v>
      </c>
    </row>
    <row r="10" spans="1:12" x14ac:dyDescent="0.3">
      <c r="A10" s="21" t="s">
        <v>159</v>
      </c>
      <c r="B10" s="21" t="s">
        <v>160</v>
      </c>
      <c r="C10" t="s">
        <v>167</v>
      </c>
      <c r="D10" s="23">
        <v>46250</v>
      </c>
      <c r="E10" t="s">
        <v>1415</v>
      </c>
      <c r="F10" s="21" t="s">
        <v>1433</v>
      </c>
      <c r="G10" t="s">
        <v>1403</v>
      </c>
      <c r="H10" t="s">
        <v>1399</v>
      </c>
      <c r="I10">
        <v>10672</v>
      </c>
      <c r="K10" t="s">
        <v>1415</v>
      </c>
      <c r="L10" s="24" t="s">
        <v>213</v>
      </c>
    </row>
    <row r="11" spans="1:12" x14ac:dyDescent="0.3">
      <c r="A11" s="21" t="s">
        <v>159</v>
      </c>
      <c r="B11" s="21" t="s">
        <v>160</v>
      </c>
      <c r="C11" t="s">
        <v>158</v>
      </c>
      <c r="D11" s="23">
        <v>46250</v>
      </c>
      <c r="E11" t="s">
        <v>1415</v>
      </c>
      <c r="F11" s="21" t="s">
        <v>1434</v>
      </c>
      <c r="G11" t="s">
        <v>1403</v>
      </c>
      <c r="H11" t="s">
        <v>1399</v>
      </c>
      <c r="I11">
        <v>19450</v>
      </c>
      <c r="K11" t="s">
        <v>1415</v>
      </c>
      <c r="L11" s="24" t="s">
        <v>213</v>
      </c>
    </row>
    <row r="12" spans="1:12" x14ac:dyDescent="0.3">
      <c r="A12" s="21" t="s">
        <v>230</v>
      </c>
      <c r="B12" s="21" t="s">
        <v>160</v>
      </c>
      <c r="C12" t="s">
        <v>235</v>
      </c>
      <c r="D12" s="23">
        <v>46250</v>
      </c>
      <c r="E12" t="s">
        <v>1415</v>
      </c>
      <c r="F12" s="21" t="s">
        <v>1437</v>
      </c>
      <c r="G12" t="s">
        <v>1403</v>
      </c>
      <c r="H12" t="s">
        <v>1399</v>
      </c>
      <c r="I12">
        <v>19450</v>
      </c>
      <c r="K12" t="s">
        <v>1415</v>
      </c>
      <c r="L12" s="24" t="s">
        <v>213</v>
      </c>
    </row>
    <row r="13" spans="1:12" x14ac:dyDescent="0.3">
      <c r="A13" s="22" t="s">
        <v>230</v>
      </c>
      <c r="B13" s="21" t="s">
        <v>160</v>
      </c>
      <c r="C13" t="s">
        <v>229</v>
      </c>
      <c r="D13" s="23">
        <v>46250</v>
      </c>
      <c r="E13" t="s">
        <v>1415</v>
      </c>
      <c r="F13" s="21" t="s">
        <v>1438</v>
      </c>
      <c r="G13" t="s">
        <v>1403</v>
      </c>
      <c r="H13" t="s">
        <v>1399</v>
      </c>
      <c r="I13">
        <v>11540</v>
      </c>
      <c r="K13" t="s">
        <v>1415</v>
      </c>
      <c r="L13" s="24" t="s">
        <v>213</v>
      </c>
    </row>
    <row r="14" spans="1:12" x14ac:dyDescent="0.3">
      <c r="A14" s="22" t="s">
        <v>960</v>
      </c>
      <c r="B14" s="21" t="s">
        <v>961</v>
      </c>
      <c r="C14" t="s">
        <v>959</v>
      </c>
      <c r="D14" s="23">
        <v>46255</v>
      </c>
      <c r="E14" t="s">
        <v>1415</v>
      </c>
      <c r="F14" s="21" t="s">
        <v>1439</v>
      </c>
      <c r="G14" t="s">
        <v>1403</v>
      </c>
      <c r="H14" t="s">
        <v>1399</v>
      </c>
      <c r="I14">
        <v>932</v>
      </c>
      <c r="K14" t="s">
        <v>1415</v>
      </c>
      <c r="L14" s="24" t="s">
        <v>213</v>
      </c>
    </row>
    <row r="15" spans="1:12" x14ac:dyDescent="0.3">
      <c r="A15" s="21" t="s">
        <v>337</v>
      </c>
      <c r="B15" s="21" t="s">
        <v>338</v>
      </c>
      <c r="C15" t="s">
        <v>335</v>
      </c>
      <c r="D15" s="23">
        <v>46252</v>
      </c>
      <c r="E15" t="s">
        <v>1417</v>
      </c>
      <c r="F15" s="21" t="s">
        <v>1440</v>
      </c>
      <c r="G15" t="s">
        <v>1403</v>
      </c>
      <c r="H15" t="s">
        <v>1399</v>
      </c>
      <c r="I15">
        <v>8318</v>
      </c>
      <c r="K15" t="s">
        <v>1417</v>
      </c>
      <c r="L15" s="24" t="s">
        <v>339</v>
      </c>
    </row>
    <row r="16" spans="1:12" x14ac:dyDescent="0.3">
      <c r="A16" s="21" t="s">
        <v>337</v>
      </c>
      <c r="B16" s="21" t="s">
        <v>338</v>
      </c>
      <c r="C16" t="s">
        <v>1133</v>
      </c>
      <c r="D16" s="23">
        <v>46252</v>
      </c>
      <c r="E16" t="s">
        <v>1417</v>
      </c>
      <c r="F16" s="21" t="s">
        <v>1441</v>
      </c>
      <c r="G16" t="s">
        <v>1403</v>
      </c>
      <c r="H16" t="s">
        <v>1399</v>
      </c>
      <c r="I16">
        <v>3964</v>
      </c>
      <c r="K16" t="s">
        <v>1417</v>
      </c>
      <c r="L16" s="24" t="s">
        <v>339</v>
      </c>
    </row>
    <row r="17" spans="1:12" x14ac:dyDescent="0.3">
      <c r="A17" s="22" t="s">
        <v>337</v>
      </c>
      <c r="B17" s="21" t="s">
        <v>338</v>
      </c>
      <c r="C17" t="s">
        <v>945</v>
      </c>
      <c r="D17" s="23">
        <v>46252</v>
      </c>
      <c r="E17" t="s">
        <v>1417</v>
      </c>
      <c r="F17" s="21" t="s">
        <v>1442</v>
      </c>
      <c r="G17" t="s">
        <v>1403</v>
      </c>
      <c r="H17" t="s">
        <v>1399</v>
      </c>
      <c r="I17">
        <v>1411</v>
      </c>
      <c r="K17" t="s">
        <v>1417</v>
      </c>
      <c r="L17" s="24" t="s">
        <v>339</v>
      </c>
    </row>
    <row r="18" spans="1:12" x14ac:dyDescent="0.3">
      <c r="A18" s="21" t="s">
        <v>1005</v>
      </c>
      <c r="B18" s="21" t="s">
        <v>1006</v>
      </c>
      <c r="C18" t="s">
        <v>1259</v>
      </c>
      <c r="D18" s="23">
        <v>46261</v>
      </c>
      <c r="E18" t="s">
        <v>1418</v>
      </c>
      <c r="F18" s="21" t="s">
        <v>1443</v>
      </c>
      <c r="G18" t="s">
        <v>1403</v>
      </c>
      <c r="H18" t="s">
        <v>1399</v>
      </c>
      <c r="I18">
        <v>3455</v>
      </c>
      <c r="K18" t="s">
        <v>1418</v>
      </c>
      <c r="L18" s="24" t="s">
        <v>1007</v>
      </c>
    </row>
    <row r="19" spans="1:12" x14ac:dyDescent="0.3">
      <c r="A19" s="21" t="s">
        <v>1005</v>
      </c>
      <c r="B19" s="21" t="s">
        <v>1006</v>
      </c>
      <c r="C19" t="s">
        <v>1004</v>
      </c>
      <c r="D19" s="23">
        <v>46261</v>
      </c>
      <c r="E19" t="s">
        <v>1418</v>
      </c>
      <c r="F19" s="21" t="s">
        <v>1444</v>
      </c>
      <c r="G19" t="s">
        <v>1403</v>
      </c>
      <c r="H19" t="s">
        <v>1399</v>
      </c>
      <c r="I19">
        <v>1124</v>
      </c>
      <c r="K19" t="s">
        <v>1418</v>
      </c>
      <c r="L19" s="24" t="s">
        <v>1007</v>
      </c>
    </row>
    <row r="20" spans="1:12" x14ac:dyDescent="0.3">
      <c r="A20" s="22" t="s">
        <v>1005</v>
      </c>
      <c r="B20" s="21" t="s">
        <v>1006</v>
      </c>
      <c r="C20" t="s">
        <v>1022</v>
      </c>
      <c r="D20" s="23">
        <v>46262</v>
      </c>
      <c r="E20" t="s">
        <v>1418</v>
      </c>
      <c r="F20" s="21" t="s">
        <v>1445</v>
      </c>
      <c r="G20" t="s">
        <v>1403</v>
      </c>
      <c r="H20" t="s">
        <v>1399</v>
      </c>
      <c r="I20">
        <v>1329</v>
      </c>
      <c r="K20" t="s">
        <v>1418</v>
      </c>
      <c r="L20" s="24" t="s">
        <v>1007</v>
      </c>
    </row>
    <row r="21" spans="1:12" x14ac:dyDescent="0.3">
      <c r="A21" s="21" t="s">
        <v>211</v>
      </c>
      <c r="B21" s="21" t="s">
        <v>212</v>
      </c>
      <c r="C21" t="s">
        <v>225</v>
      </c>
      <c r="D21" s="23">
        <v>46250</v>
      </c>
      <c r="E21" t="s">
        <v>1415</v>
      </c>
      <c r="F21" s="21" t="s">
        <v>1446</v>
      </c>
      <c r="G21" t="s">
        <v>1403</v>
      </c>
      <c r="H21" t="s">
        <v>1399</v>
      </c>
      <c r="I21">
        <v>19804</v>
      </c>
      <c r="K21" t="s">
        <v>1415</v>
      </c>
      <c r="L21" s="24" t="s">
        <v>213</v>
      </c>
    </row>
    <row r="22" spans="1:12" x14ac:dyDescent="0.3">
      <c r="A22" s="22" t="s">
        <v>211</v>
      </c>
      <c r="B22" s="21" t="s">
        <v>212</v>
      </c>
      <c r="C22" t="s">
        <v>209</v>
      </c>
      <c r="D22" s="23">
        <v>46250</v>
      </c>
      <c r="E22" t="s">
        <v>1415</v>
      </c>
      <c r="F22" s="21" t="s">
        <v>1447</v>
      </c>
      <c r="G22" t="s">
        <v>1403</v>
      </c>
      <c r="H22" t="s">
        <v>1399</v>
      </c>
      <c r="I22">
        <v>11853</v>
      </c>
      <c r="K22" t="s">
        <v>1415</v>
      </c>
      <c r="L22" s="24" t="s">
        <v>213</v>
      </c>
    </row>
    <row r="23" spans="1:12" x14ac:dyDescent="0.3">
      <c r="A23" s="21" t="s">
        <v>637</v>
      </c>
      <c r="B23" s="21" t="s">
        <v>638</v>
      </c>
      <c r="C23" t="s">
        <v>636</v>
      </c>
      <c r="D23" s="23">
        <v>46259</v>
      </c>
      <c r="E23" t="s">
        <v>1417</v>
      </c>
      <c r="F23" s="21" t="s">
        <v>1448</v>
      </c>
      <c r="G23" t="s">
        <v>1403</v>
      </c>
      <c r="H23" t="s">
        <v>1399</v>
      </c>
      <c r="I23">
        <v>13894</v>
      </c>
      <c r="K23" t="s">
        <v>1417</v>
      </c>
      <c r="L23" s="24" t="s">
        <v>339</v>
      </c>
    </row>
    <row r="24" spans="1:12" x14ac:dyDescent="0.3">
      <c r="A24" s="21" t="s">
        <v>637</v>
      </c>
      <c r="B24" s="21" t="s">
        <v>638</v>
      </c>
      <c r="C24" t="s">
        <v>650</v>
      </c>
      <c r="D24" s="23">
        <v>46259</v>
      </c>
      <c r="E24" t="s">
        <v>1417</v>
      </c>
      <c r="F24" s="21" t="s">
        <v>1449</v>
      </c>
      <c r="G24" t="s">
        <v>1403</v>
      </c>
      <c r="H24" t="s">
        <v>1399</v>
      </c>
      <c r="I24">
        <v>9178</v>
      </c>
      <c r="K24" t="s">
        <v>1417</v>
      </c>
      <c r="L24" s="24" t="s">
        <v>339</v>
      </c>
    </row>
    <row r="25" spans="1:12" x14ac:dyDescent="0.3">
      <c r="A25" s="22" t="s">
        <v>637</v>
      </c>
      <c r="B25" s="21" t="s">
        <v>638</v>
      </c>
      <c r="C25" t="s">
        <v>1219</v>
      </c>
      <c r="D25" s="23">
        <v>46259</v>
      </c>
      <c r="E25" t="s">
        <v>1417</v>
      </c>
      <c r="F25" s="21" t="s">
        <v>1450</v>
      </c>
      <c r="G25" t="s">
        <v>1403</v>
      </c>
      <c r="H25" t="s">
        <v>1399</v>
      </c>
      <c r="I25">
        <v>3654</v>
      </c>
      <c r="K25" t="s">
        <v>1417</v>
      </c>
      <c r="L25" s="24" t="s">
        <v>339</v>
      </c>
    </row>
    <row r="26" spans="1:12" x14ac:dyDescent="0.3">
      <c r="A26" s="21" t="s">
        <v>132</v>
      </c>
      <c r="B26" s="21" t="s">
        <v>133</v>
      </c>
      <c r="C26" t="s">
        <v>130</v>
      </c>
      <c r="D26" s="23">
        <v>46250</v>
      </c>
      <c r="E26" t="s">
        <v>1415</v>
      </c>
      <c r="F26" s="21" t="s">
        <v>1451</v>
      </c>
      <c r="G26" t="s">
        <v>1403</v>
      </c>
      <c r="H26" t="s">
        <v>1399</v>
      </c>
      <c r="I26">
        <v>19450</v>
      </c>
      <c r="K26" t="s">
        <v>1415</v>
      </c>
      <c r="L26" s="24" t="s">
        <v>213</v>
      </c>
    </row>
    <row r="27" spans="1:12" x14ac:dyDescent="0.3">
      <c r="A27" s="22" t="s">
        <v>132</v>
      </c>
      <c r="B27" s="21" t="s">
        <v>133</v>
      </c>
      <c r="C27" t="s">
        <v>181</v>
      </c>
      <c r="D27" s="23">
        <v>46250</v>
      </c>
      <c r="E27" t="s">
        <v>1415</v>
      </c>
      <c r="F27" s="21" t="s">
        <v>1452</v>
      </c>
      <c r="G27" t="s">
        <v>1403</v>
      </c>
      <c r="H27" t="s">
        <v>1399</v>
      </c>
      <c r="I27">
        <v>10672</v>
      </c>
      <c r="K27" t="s">
        <v>1415</v>
      </c>
      <c r="L27" s="24" t="s">
        <v>213</v>
      </c>
    </row>
    <row r="28" spans="1:12" x14ac:dyDescent="0.3">
      <c r="A28" s="21" t="s">
        <v>909</v>
      </c>
      <c r="B28" s="21" t="s">
        <v>910</v>
      </c>
      <c r="C28" t="s">
        <v>1117</v>
      </c>
      <c r="D28" s="23">
        <v>46251</v>
      </c>
      <c r="E28" t="s">
        <v>1419</v>
      </c>
      <c r="F28" s="21" t="s">
        <v>1453</v>
      </c>
      <c r="G28" t="s">
        <v>1403</v>
      </c>
      <c r="H28" t="s">
        <v>1399</v>
      </c>
      <c r="I28">
        <v>1667</v>
      </c>
      <c r="K28" t="s">
        <v>1419</v>
      </c>
      <c r="L28" s="24" t="s">
        <v>911</v>
      </c>
    </row>
    <row r="29" spans="1:12" x14ac:dyDescent="0.3">
      <c r="A29" s="21" t="s">
        <v>909</v>
      </c>
      <c r="B29" s="21" t="s">
        <v>910</v>
      </c>
      <c r="C29" t="s">
        <v>908</v>
      </c>
      <c r="D29" s="23">
        <v>46251</v>
      </c>
      <c r="E29" t="s">
        <v>1419</v>
      </c>
      <c r="F29" s="21" t="s">
        <v>1454</v>
      </c>
      <c r="G29" t="s">
        <v>1403</v>
      </c>
      <c r="H29" t="s">
        <v>1399</v>
      </c>
      <c r="I29">
        <v>1027</v>
      </c>
      <c r="K29" t="s">
        <v>1419</v>
      </c>
      <c r="L29" s="24" t="s">
        <v>911</v>
      </c>
    </row>
    <row r="30" spans="1:12" x14ac:dyDescent="0.3">
      <c r="A30" s="21" t="s">
        <v>909</v>
      </c>
      <c r="B30" s="21" t="s">
        <v>910</v>
      </c>
      <c r="C30" t="s">
        <v>922</v>
      </c>
      <c r="D30" s="23">
        <v>46251</v>
      </c>
      <c r="E30" t="s">
        <v>1419</v>
      </c>
      <c r="F30" s="21" t="s">
        <v>1455</v>
      </c>
      <c r="G30" t="s">
        <v>1403</v>
      </c>
      <c r="H30" t="s">
        <v>1399</v>
      </c>
      <c r="I30">
        <v>219</v>
      </c>
      <c r="K30" t="s">
        <v>1419</v>
      </c>
      <c r="L30" s="24" t="s">
        <v>911</v>
      </c>
    </row>
    <row r="31" spans="1:12" x14ac:dyDescent="0.3">
      <c r="A31" s="22" t="s">
        <v>909</v>
      </c>
      <c r="B31" s="21" t="s">
        <v>910</v>
      </c>
      <c r="C31" t="s">
        <v>932</v>
      </c>
      <c r="D31" s="23">
        <v>46251</v>
      </c>
      <c r="E31" t="s">
        <v>1419</v>
      </c>
      <c r="F31" s="21" t="s">
        <v>1456</v>
      </c>
      <c r="G31" t="s">
        <v>1403</v>
      </c>
      <c r="H31" t="s">
        <v>1399</v>
      </c>
      <c r="I31">
        <v>645</v>
      </c>
      <c r="K31" t="s">
        <v>1419</v>
      </c>
      <c r="L31" s="24" t="s">
        <v>911</v>
      </c>
    </row>
    <row r="32" spans="1:12" x14ac:dyDescent="0.3">
      <c r="A32" s="22" t="s">
        <v>1229</v>
      </c>
      <c r="B32" s="21" t="s">
        <v>1228</v>
      </c>
      <c r="C32" t="s">
        <v>1226</v>
      </c>
      <c r="D32" s="23">
        <v>46259</v>
      </c>
      <c r="E32" t="s">
        <v>1419</v>
      </c>
      <c r="F32" s="21" t="s">
        <v>1457</v>
      </c>
      <c r="G32" t="s">
        <v>1403</v>
      </c>
      <c r="H32" t="s">
        <v>1399</v>
      </c>
      <c r="I32">
        <v>2331</v>
      </c>
      <c r="K32" t="s">
        <v>1419</v>
      </c>
      <c r="L32" s="24" t="s">
        <v>911</v>
      </c>
    </row>
    <row r="33" spans="1:12" x14ac:dyDescent="0.3">
      <c r="A33" s="21" t="s">
        <v>777</v>
      </c>
      <c r="B33" s="21" t="s">
        <v>778</v>
      </c>
      <c r="C33" t="s">
        <v>776</v>
      </c>
      <c r="D33" s="23">
        <v>46265</v>
      </c>
      <c r="E33" t="s">
        <v>1417</v>
      </c>
      <c r="F33" s="21" t="s">
        <v>1458</v>
      </c>
      <c r="G33" t="s">
        <v>1403</v>
      </c>
      <c r="H33" t="s">
        <v>1399</v>
      </c>
      <c r="I33">
        <v>8314</v>
      </c>
      <c r="K33" t="s">
        <v>1417</v>
      </c>
      <c r="L33" s="24" t="s">
        <v>339</v>
      </c>
    </row>
    <row r="34" spans="1:12" x14ac:dyDescent="0.3">
      <c r="A34" s="21" t="s">
        <v>777</v>
      </c>
      <c r="B34" s="21" t="s">
        <v>778</v>
      </c>
      <c r="C34" t="s">
        <v>1204</v>
      </c>
      <c r="D34" s="23">
        <v>46256</v>
      </c>
      <c r="E34" t="s">
        <v>1417</v>
      </c>
      <c r="F34" s="21" t="s">
        <v>1459</v>
      </c>
      <c r="G34" t="s">
        <v>1403</v>
      </c>
      <c r="H34" t="s">
        <v>1399</v>
      </c>
      <c r="I34">
        <v>4790</v>
      </c>
      <c r="K34" t="s">
        <v>1417</v>
      </c>
      <c r="L34" s="24" t="s">
        <v>339</v>
      </c>
    </row>
    <row r="35" spans="1:12" x14ac:dyDescent="0.3">
      <c r="A35" s="21" t="s">
        <v>777</v>
      </c>
      <c r="B35" s="21" t="s">
        <v>778</v>
      </c>
      <c r="C35" t="s">
        <v>1290</v>
      </c>
      <c r="D35" s="23">
        <v>46265</v>
      </c>
      <c r="E35" t="s">
        <v>1417</v>
      </c>
      <c r="F35" s="21" t="s">
        <v>1460</v>
      </c>
      <c r="G35" t="s">
        <v>1403</v>
      </c>
      <c r="H35" t="s">
        <v>1399</v>
      </c>
      <c r="I35">
        <v>12780</v>
      </c>
      <c r="K35" t="s">
        <v>1417</v>
      </c>
      <c r="L35" s="24" t="s">
        <v>339</v>
      </c>
    </row>
    <row r="36" spans="1:12" x14ac:dyDescent="0.3">
      <c r="A36" s="21" t="s">
        <v>777</v>
      </c>
      <c r="B36" s="21" t="s">
        <v>778</v>
      </c>
      <c r="C36" t="s">
        <v>899</v>
      </c>
      <c r="D36" s="23">
        <v>46251</v>
      </c>
      <c r="E36" t="s">
        <v>1417</v>
      </c>
      <c r="F36" s="21" t="s">
        <v>1461</v>
      </c>
      <c r="G36" t="s">
        <v>1403</v>
      </c>
      <c r="H36" t="s">
        <v>1399</v>
      </c>
      <c r="I36">
        <v>1193</v>
      </c>
      <c r="K36" t="s">
        <v>1417</v>
      </c>
      <c r="L36" s="24" t="s">
        <v>339</v>
      </c>
    </row>
    <row r="37" spans="1:12" x14ac:dyDescent="0.3">
      <c r="A37" s="21" t="s">
        <v>777</v>
      </c>
      <c r="B37" s="21" t="s">
        <v>778</v>
      </c>
      <c r="C37" t="s">
        <v>970</v>
      </c>
      <c r="D37" s="23">
        <v>46257</v>
      </c>
      <c r="E37" t="s">
        <v>1417</v>
      </c>
      <c r="F37" s="21" t="s">
        <v>1462</v>
      </c>
      <c r="G37" t="s">
        <v>1403</v>
      </c>
      <c r="H37" t="s">
        <v>1399</v>
      </c>
      <c r="I37">
        <v>1274</v>
      </c>
      <c r="K37" t="s">
        <v>1417</v>
      </c>
      <c r="L37" s="24" t="s">
        <v>339</v>
      </c>
    </row>
    <row r="38" spans="1:12" x14ac:dyDescent="0.3">
      <c r="A38" s="21" t="s">
        <v>777</v>
      </c>
      <c r="B38" s="21" t="s">
        <v>778</v>
      </c>
      <c r="C38" t="s">
        <v>979</v>
      </c>
      <c r="D38" s="23">
        <v>46257</v>
      </c>
      <c r="E38" t="s">
        <v>1417</v>
      </c>
      <c r="F38" s="21" t="s">
        <v>1463</v>
      </c>
      <c r="G38" t="s">
        <v>1403</v>
      </c>
      <c r="H38" t="s">
        <v>1399</v>
      </c>
      <c r="I38">
        <v>1496</v>
      </c>
      <c r="K38" t="s">
        <v>1417</v>
      </c>
      <c r="L38" s="24" t="s">
        <v>339</v>
      </c>
    </row>
    <row r="39" spans="1:12" x14ac:dyDescent="0.3">
      <c r="A39" s="21" t="s">
        <v>777</v>
      </c>
      <c r="B39" s="21" t="s">
        <v>778</v>
      </c>
      <c r="C39" t="s">
        <v>997</v>
      </c>
      <c r="D39" s="23">
        <v>46260</v>
      </c>
      <c r="E39" t="s">
        <v>1417</v>
      </c>
      <c r="F39" s="21" t="s">
        <v>1464</v>
      </c>
      <c r="G39" t="s">
        <v>1403</v>
      </c>
      <c r="H39" t="s">
        <v>1399</v>
      </c>
      <c r="I39">
        <v>1652</v>
      </c>
      <c r="K39" t="s">
        <v>1417</v>
      </c>
      <c r="L39" s="24" t="s">
        <v>339</v>
      </c>
    </row>
    <row r="40" spans="1:12" x14ac:dyDescent="0.3">
      <c r="A40" s="21" t="s">
        <v>584</v>
      </c>
      <c r="B40" s="21" t="s">
        <v>585</v>
      </c>
      <c r="C40" t="s">
        <v>583</v>
      </c>
      <c r="D40" s="23">
        <v>46256</v>
      </c>
      <c r="E40" s="24" t="s">
        <v>1526</v>
      </c>
      <c r="F40" s="21" t="s">
        <v>1466</v>
      </c>
      <c r="G40" t="s">
        <v>1403</v>
      </c>
      <c r="H40" t="s">
        <v>1399</v>
      </c>
      <c r="I40">
        <v>8995</v>
      </c>
      <c r="K40" s="24" t="s">
        <v>1526</v>
      </c>
      <c r="L40" s="24" t="s">
        <v>1525</v>
      </c>
    </row>
    <row r="41" spans="1:12" x14ac:dyDescent="0.3">
      <c r="A41" s="21" t="s">
        <v>584</v>
      </c>
      <c r="B41" s="21" t="s">
        <v>585</v>
      </c>
      <c r="C41" t="s">
        <v>596</v>
      </c>
      <c r="D41" s="23">
        <v>46256</v>
      </c>
      <c r="E41" s="24" t="s">
        <v>1526</v>
      </c>
      <c r="F41" s="21" t="s">
        <v>1467</v>
      </c>
      <c r="G41" t="s">
        <v>1403</v>
      </c>
      <c r="H41" t="s">
        <v>1399</v>
      </c>
      <c r="I41">
        <v>9109</v>
      </c>
      <c r="K41" s="24" t="s">
        <v>1526</v>
      </c>
      <c r="L41" s="24" t="s">
        <v>1525</v>
      </c>
    </row>
    <row r="42" spans="1:12" x14ac:dyDescent="0.3">
      <c r="A42" s="22" t="s">
        <v>584</v>
      </c>
      <c r="B42" s="21" t="s">
        <v>585</v>
      </c>
      <c r="C42" t="s">
        <v>1179</v>
      </c>
      <c r="D42" s="23">
        <v>46255</v>
      </c>
      <c r="E42" s="24" t="s">
        <v>1526</v>
      </c>
      <c r="F42" s="21" t="s">
        <v>1470</v>
      </c>
      <c r="G42" t="s">
        <v>1403</v>
      </c>
      <c r="H42" t="s">
        <v>1399</v>
      </c>
      <c r="I42">
        <v>13755</v>
      </c>
      <c r="K42" s="24" t="s">
        <v>1526</v>
      </c>
      <c r="L42" s="24" t="s">
        <v>1525</v>
      </c>
    </row>
    <row r="43" spans="1:12" x14ac:dyDescent="0.3">
      <c r="A43" s="21" t="s">
        <v>885</v>
      </c>
      <c r="B43" s="21" t="s">
        <v>886</v>
      </c>
      <c r="C43" t="s">
        <v>1148</v>
      </c>
      <c r="D43" s="23">
        <v>46252</v>
      </c>
      <c r="E43" t="s">
        <v>1415</v>
      </c>
      <c r="F43" s="21" t="s">
        <v>1472</v>
      </c>
      <c r="G43" t="s">
        <v>1403</v>
      </c>
      <c r="H43" t="s">
        <v>1399</v>
      </c>
      <c r="I43">
        <v>12523</v>
      </c>
      <c r="K43" t="s">
        <v>1415</v>
      </c>
      <c r="L43" s="24" t="s">
        <v>213</v>
      </c>
    </row>
    <row r="44" spans="1:12" x14ac:dyDescent="0.3">
      <c r="A44" s="22" t="s">
        <v>885</v>
      </c>
      <c r="B44" s="21" t="s">
        <v>886</v>
      </c>
      <c r="C44" t="s">
        <v>884</v>
      </c>
      <c r="D44" s="23">
        <v>46250</v>
      </c>
      <c r="E44" t="s">
        <v>1415</v>
      </c>
      <c r="F44" s="21" t="s">
        <v>1473</v>
      </c>
      <c r="G44" t="s">
        <v>1403</v>
      </c>
      <c r="H44" t="s">
        <v>1399</v>
      </c>
      <c r="I44">
        <v>1462</v>
      </c>
      <c r="K44" t="s">
        <v>1415</v>
      </c>
      <c r="L44" s="24" t="s">
        <v>213</v>
      </c>
    </row>
    <row r="45" spans="1:12" x14ac:dyDescent="0.3">
      <c r="A45" s="21" t="s">
        <v>311</v>
      </c>
      <c r="B45" s="21" t="s">
        <v>312</v>
      </c>
      <c r="C45" t="s">
        <v>325</v>
      </c>
      <c r="D45" s="23">
        <v>46251</v>
      </c>
      <c r="E45" t="s">
        <v>1420</v>
      </c>
      <c r="F45" s="21" t="s">
        <v>1474</v>
      </c>
      <c r="G45" t="s">
        <v>1403</v>
      </c>
      <c r="H45" t="s">
        <v>1399</v>
      </c>
      <c r="I45">
        <v>9505</v>
      </c>
      <c r="K45" t="s">
        <v>1420</v>
      </c>
      <c r="L45" s="24" t="s">
        <v>313</v>
      </c>
    </row>
    <row r="46" spans="1:12" x14ac:dyDescent="0.3">
      <c r="A46" s="21" t="s">
        <v>311</v>
      </c>
      <c r="B46" s="21" t="s">
        <v>312</v>
      </c>
      <c r="C46" t="s">
        <v>310</v>
      </c>
      <c r="D46" s="23">
        <v>46251</v>
      </c>
      <c r="E46" t="s">
        <v>1420</v>
      </c>
      <c r="F46" s="21" t="s">
        <v>1475</v>
      </c>
      <c r="G46" t="s">
        <v>1403</v>
      </c>
      <c r="H46" t="s">
        <v>1399</v>
      </c>
      <c r="I46">
        <v>9076</v>
      </c>
      <c r="K46" t="s">
        <v>1420</v>
      </c>
      <c r="L46" s="24" t="s">
        <v>313</v>
      </c>
    </row>
    <row r="47" spans="1:12" x14ac:dyDescent="0.3">
      <c r="A47" s="21" t="s">
        <v>311</v>
      </c>
      <c r="B47" s="21" t="s">
        <v>312</v>
      </c>
      <c r="C47" t="s">
        <v>1124</v>
      </c>
      <c r="D47" s="23">
        <v>46251</v>
      </c>
      <c r="E47" t="s">
        <v>1420</v>
      </c>
      <c r="F47" s="21" t="s">
        <v>1476</v>
      </c>
      <c r="G47" t="s">
        <v>1403</v>
      </c>
      <c r="H47" t="s">
        <v>1399</v>
      </c>
      <c r="I47">
        <v>12587</v>
      </c>
      <c r="K47" t="s">
        <v>1420</v>
      </c>
      <c r="L47" s="24" t="s">
        <v>313</v>
      </c>
    </row>
    <row r="48" spans="1:12" x14ac:dyDescent="0.3">
      <c r="A48" s="22" t="s">
        <v>311</v>
      </c>
      <c r="B48" s="21" t="s">
        <v>312</v>
      </c>
      <c r="C48" t="s">
        <v>1158</v>
      </c>
      <c r="D48" s="23">
        <v>46253</v>
      </c>
      <c r="E48" t="s">
        <v>1420</v>
      </c>
      <c r="F48" s="21" t="s">
        <v>1477</v>
      </c>
      <c r="G48" t="s">
        <v>1403</v>
      </c>
      <c r="H48" t="s">
        <v>1399</v>
      </c>
      <c r="I48">
        <v>8636</v>
      </c>
      <c r="K48" t="s">
        <v>1420</v>
      </c>
      <c r="L48" s="24" t="s">
        <v>313</v>
      </c>
    </row>
    <row r="49" spans="1:12" x14ac:dyDescent="0.3">
      <c r="A49" s="21" t="s">
        <v>269</v>
      </c>
      <c r="B49" s="21" t="s">
        <v>270</v>
      </c>
      <c r="C49" t="s">
        <v>458</v>
      </c>
      <c r="D49" s="23">
        <v>46253</v>
      </c>
      <c r="E49" t="s">
        <v>1421</v>
      </c>
      <c r="F49" s="21" t="s">
        <v>1478</v>
      </c>
      <c r="G49" t="s">
        <v>1403</v>
      </c>
      <c r="H49" t="s">
        <v>1399</v>
      </c>
      <c r="I49">
        <v>7309</v>
      </c>
      <c r="K49" t="s">
        <v>1421</v>
      </c>
      <c r="L49" s="24" t="s">
        <v>271</v>
      </c>
    </row>
    <row r="50" spans="1:12" x14ac:dyDescent="0.3">
      <c r="A50" s="21" t="s">
        <v>269</v>
      </c>
      <c r="B50" s="21" t="s">
        <v>270</v>
      </c>
      <c r="C50" t="s">
        <v>468</v>
      </c>
      <c r="D50" s="23">
        <v>46254</v>
      </c>
      <c r="E50" t="s">
        <v>1421</v>
      </c>
      <c r="F50" s="21" t="s">
        <v>1479</v>
      </c>
      <c r="G50" t="s">
        <v>1403</v>
      </c>
      <c r="H50" t="s">
        <v>1399</v>
      </c>
      <c r="I50">
        <v>8478</v>
      </c>
      <c r="K50" t="s">
        <v>1421</v>
      </c>
      <c r="L50" s="24" t="s">
        <v>271</v>
      </c>
    </row>
    <row r="51" spans="1:12" x14ac:dyDescent="0.3">
      <c r="A51" s="21" t="s">
        <v>269</v>
      </c>
      <c r="B51" s="21" t="s">
        <v>270</v>
      </c>
      <c r="C51" t="s">
        <v>489</v>
      </c>
      <c r="D51" s="23">
        <v>46254</v>
      </c>
      <c r="E51" t="s">
        <v>1421</v>
      </c>
      <c r="F51" s="21" t="s">
        <v>1480</v>
      </c>
      <c r="G51" t="s">
        <v>1403</v>
      </c>
      <c r="H51" t="s">
        <v>1399</v>
      </c>
      <c r="I51">
        <v>7711</v>
      </c>
      <c r="K51" t="s">
        <v>1421</v>
      </c>
      <c r="L51" s="24" t="s">
        <v>271</v>
      </c>
    </row>
    <row r="52" spans="1:12" x14ac:dyDescent="0.3">
      <c r="A52" s="21" t="s">
        <v>269</v>
      </c>
      <c r="B52" s="21" t="s">
        <v>270</v>
      </c>
      <c r="C52" t="s">
        <v>284</v>
      </c>
      <c r="D52" s="23">
        <v>46251</v>
      </c>
      <c r="E52" t="s">
        <v>1421</v>
      </c>
      <c r="F52" s="21" t="s">
        <v>1481</v>
      </c>
      <c r="G52" t="s">
        <v>1403</v>
      </c>
      <c r="H52" t="s">
        <v>1399</v>
      </c>
      <c r="I52">
        <v>9283</v>
      </c>
      <c r="K52" t="s">
        <v>1421</v>
      </c>
      <c r="L52" s="24" t="s">
        <v>271</v>
      </c>
    </row>
    <row r="53" spans="1:12" x14ac:dyDescent="0.3">
      <c r="A53" s="21" t="s">
        <v>269</v>
      </c>
      <c r="B53" s="21" t="s">
        <v>270</v>
      </c>
      <c r="C53" t="s">
        <v>267</v>
      </c>
      <c r="D53" s="23">
        <v>46251</v>
      </c>
      <c r="E53" t="s">
        <v>1421</v>
      </c>
      <c r="F53" s="21" t="s">
        <v>1482</v>
      </c>
      <c r="G53" t="s">
        <v>1403</v>
      </c>
      <c r="H53" t="s">
        <v>1399</v>
      </c>
      <c r="I53">
        <v>8756</v>
      </c>
      <c r="K53" t="s">
        <v>1421</v>
      </c>
      <c r="L53" s="24" t="s">
        <v>271</v>
      </c>
    </row>
    <row r="54" spans="1:12" x14ac:dyDescent="0.3">
      <c r="A54" s="21" t="s">
        <v>269</v>
      </c>
      <c r="B54" s="21" t="s">
        <v>270</v>
      </c>
      <c r="C54" t="s">
        <v>450</v>
      </c>
      <c r="D54" s="23">
        <v>46253</v>
      </c>
      <c r="E54" t="s">
        <v>1421</v>
      </c>
      <c r="F54" s="21" t="s">
        <v>1479</v>
      </c>
      <c r="G54" t="s">
        <v>1403</v>
      </c>
      <c r="H54" t="s">
        <v>1399</v>
      </c>
      <c r="I54">
        <v>8423</v>
      </c>
      <c r="K54" t="s">
        <v>1421</v>
      </c>
      <c r="L54" s="24" t="s">
        <v>271</v>
      </c>
    </row>
    <row r="55" spans="1:12" x14ac:dyDescent="0.3">
      <c r="A55" s="21" t="s">
        <v>269</v>
      </c>
      <c r="B55" s="21" t="s">
        <v>270</v>
      </c>
      <c r="C55" t="s">
        <v>479</v>
      </c>
      <c r="D55" s="23">
        <v>46254</v>
      </c>
      <c r="E55" t="s">
        <v>1421</v>
      </c>
      <c r="F55" s="21" t="s">
        <v>1483</v>
      </c>
      <c r="G55" t="s">
        <v>1403</v>
      </c>
      <c r="H55" t="s">
        <v>1399</v>
      </c>
      <c r="I55">
        <v>10081</v>
      </c>
      <c r="K55" t="s">
        <v>1421</v>
      </c>
      <c r="L55" s="24" t="s">
        <v>271</v>
      </c>
    </row>
    <row r="56" spans="1:12" x14ac:dyDescent="0.3">
      <c r="A56" s="21" t="s">
        <v>686</v>
      </c>
      <c r="B56" s="21" t="s">
        <v>687</v>
      </c>
      <c r="C56" t="s">
        <v>699</v>
      </c>
      <c r="D56" s="23">
        <v>46261</v>
      </c>
      <c r="E56" t="s">
        <v>1422</v>
      </c>
      <c r="F56" s="21" t="s">
        <v>1487</v>
      </c>
      <c r="G56" t="s">
        <v>1403</v>
      </c>
      <c r="H56" t="s">
        <v>1399</v>
      </c>
      <c r="I56">
        <v>8749</v>
      </c>
      <c r="K56" t="s">
        <v>1422</v>
      </c>
      <c r="L56" s="24" t="s">
        <v>503</v>
      </c>
    </row>
    <row r="57" spans="1:12" x14ac:dyDescent="0.3">
      <c r="A57" s="21" t="s">
        <v>686</v>
      </c>
      <c r="B57" s="21" t="s">
        <v>687</v>
      </c>
      <c r="C57" t="s">
        <v>685</v>
      </c>
      <c r="D57" s="23">
        <v>46261</v>
      </c>
      <c r="E57" t="s">
        <v>1422</v>
      </c>
      <c r="F57" s="21" t="s">
        <v>1488</v>
      </c>
      <c r="G57" t="s">
        <v>1403</v>
      </c>
      <c r="H57" t="s">
        <v>1399</v>
      </c>
      <c r="I57">
        <v>8290</v>
      </c>
      <c r="K57" t="s">
        <v>1422</v>
      </c>
      <c r="L57" s="24" t="s">
        <v>503</v>
      </c>
    </row>
    <row r="58" spans="1:12" x14ac:dyDescent="0.3">
      <c r="A58" s="22" t="s">
        <v>686</v>
      </c>
      <c r="B58" s="21" t="s">
        <v>687</v>
      </c>
      <c r="C58" t="s">
        <v>1265</v>
      </c>
      <c r="D58" s="23">
        <v>46261</v>
      </c>
      <c r="E58" t="s">
        <v>1422</v>
      </c>
      <c r="F58" s="21" t="s">
        <v>1489</v>
      </c>
      <c r="G58" t="s">
        <v>1403</v>
      </c>
      <c r="H58" t="s">
        <v>1399</v>
      </c>
      <c r="I58">
        <v>10045</v>
      </c>
      <c r="K58" t="s">
        <v>1422</v>
      </c>
      <c r="L58" s="24" t="s">
        <v>503</v>
      </c>
    </row>
    <row r="59" spans="1:12" x14ac:dyDescent="0.3">
      <c r="A59" s="21" t="s">
        <v>1017</v>
      </c>
      <c r="B59" s="21" t="s">
        <v>1018</v>
      </c>
      <c r="C59" t="s">
        <v>1197</v>
      </c>
      <c r="D59" s="23">
        <v>46256</v>
      </c>
      <c r="E59" t="s">
        <v>1417</v>
      </c>
      <c r="F59" s="21" t="s">
        <v>1490</v>
      </c>
      <c r="G59" t="s">
        <v>1403</v>
      </c>
      <c r="H59" t="s">
        <v>1399</v>
      </c>
      <c r="I59">
        <v>3481</v>
      </c>
      <c r="K59" t="s">
        <v>1417</v>
      </c>
      <c r="L59" s="24" t="s">
        <v>339</v>
      </c>
    </row>
    <row r="60" spans="1:12" x14ac:dyDescent="0.3">
      <c r="A60" s="21" t="s">
        <v>1017</v>
      </c>
      <c r="B60" s="21" t="s">
        <v>1018</v>
      </c>
      <c r="C60" t="s">
        <v>1253</v>
      </c>
      <c r="D60" s="23">
        <v>46261</v>
      </c>
      <c r="E60" t="s">
        <v>1417</v>
      </c>
      <c r="F60" s="21" t="s">
        <v>1491</v>
      </c>
      <c r="G60" t="s">
        <v>1403</v>
      </c>
      <c r="H60" t="s">
        <v>1399</v>
      </c>
      <c r="I60">
        <v>4934</v>
      </c>
      <c r="K60" t="s">
        <v>1417</v>
      </c>
      <c r="L60" s="24" t="s">
        <v>339</v>
      </c>
    </row>
    <row r="61" spans="1:12" x14ac:dyDescent="0.3">
      <c r="A61" s="22" t="s">
        <v>1017</v>
      </c>
      <c r="B61" s="21" t="s">
        <v>1018</v>
      </c>
      <c r="C61" t="s">
        <v>1016</v>
      </c>
      <c r="D61" s="23">
        <v>46261</v>
      </c>
      <c r="E61" t="s">
        <v>1417</v>
      </c>
      <c r="F61" s="21" t="s">
        <v>1492</v>
      </c>
      <c r="G61" t="s">
        <v>1403</v>
      </c>
      <c r="H61" t="s">
        <v>1399</v>
      </c>
      <c r="I61">
        <v>1124</v>
      </c>
      <c r="K61" t="s">
        <v>1417</v>
      </c>
      <c r="L61" s="24" t="s">
        <v>339</v>
      </c>
    </row>
    <row r="62" spans="1:12" x14ac:dyDescent="0.3">
      <c r="A62" s="21" t="s">
        <v>752</v>
      </c>
      <c r="B62" s="21" t="s">
        <v>753</v>
      </c>
      <c r="C62" t="s">
        <v>751</v>
      </c>
      <c r="D62" s="23">
        <v>46264</v>
      </c>
      <c r="E62" t="s">
        <v>1415</v>
      </c>
      <c r="F62" s="21" t="s">
        <v>1493</v>
      </c>
      <c r="G62" t="s">
        <v>1403</v>
      </c>
      <c r="H62" t="s">
        <v>1399</v>
      </c>
      <c r="I62">
        <v>9507</v>
      </c>
      <c r="K62" t="s">
        <v>1415</v>
      </c>
      <c r="L62" s="24" t="s">
        <v>213</v>
      </c>
    </row>
    <row r="63" spans="1:12" x14ac:dyDescent="0.3">
      <c r="A63" s="21" t="s">
        <v>752</v>
      </c>
      <c r="B63" s="21" t="s">
        <v>753</v>
      </c>
      <c r="C63" t="s">
        <v>764</v>
      </c>
      <c r="D63" s="23">
        <v>46264</v>
      </c>
      <c r="E63" t="s">
        <v>1415</v>
      </c>
      <c r="F63" s="21" t="s">
        <v>1494</v>
      </c>
      <c r="G63" t="s">
        <v>1403</v>
      </c>
      <c r="H63" t="s">
        <v>1399</v>
      </c>
      <c r="I63">
        <v>8797</v>
      </c>
      <c r="K63" t="s">
        <v>1415</v>
      </c>
      <c r="L63" s="24" t="s">
        <v>213</v>
      </c>
    </row>
    <row r="64" spans="1:12" x14ac:dyDescent="0.3">
      <c r="A64" s="22" t="s">
        <v>752</v>
      </c>
      <c r="B64" s="21" t="s">
        <v>753</v>
      </c>
      <c r="C64" t="s">
        <v>1285</v>
      </c>
      <c r="D64" s="23">
        <v>46264</v>
      </c>
      <c r="E64" t="s">
        <v>1415</v>
      </c>
      <c r="F64" s="21" t="s">
        <v>1495</v>
      </c>
      <c r="G64" t="s">
        <v>1403</v>
      </c>
      <c r="H64" t="s">
        <v>1399</v>
      </c>
      <c r="I64">
        <v>14724</v>
      </c>
      <c r="K64" t="s">
        <v>1415</v>
      </c>
      <c r="L64" s="24" t="s">
        <v>213</v>
      </c>
    </row>
    <row r="65" spans="1:12" x14ac:dyDescent="0.3">
      <c r="A65" s="21" t="s">
        <v>215</v>
      </c>
      <c r="B65" s="21" t="s">
        <v>224</v>
      </c>
      <c r="C65" t="s">
        <v>416</v>
      </c>
      <c r="D65" s="23">
        <v>46253</v>
      </c>
      <c r="E65" t="s">
        <v>1415</v>
      </c>
      <c r="F65" s="21" t="s">
        <v>1496</v>
      </c>
      <c r="G65" t="s">
        <v>1403</v>
      </c>
      <c r="H65" t="s">
        <v>1399</v>
      </c>
      <c r="I65">
        <v>9199</v>
      </c>
      <c r="K65" t="s">
        <v>1415</v>
      </c>
      <c r="L65" s="24" t="s">
        <v>213</v>
      </c>
    </row>
    <row r="66" spans="1:12" x14ac:dyDescent="0.3">
      <c r="A66" s="21" t="s">
        <v>215</v>
      </c>
      <c r="B66" s="21" t="s">
        <v>224</v>
      </c>
      <c r="C66" t="s">
        <v>429</v>
      </c>
      <c r="D66" s="23">
        <v>46253</v>
      </c>
      <c r="E66" t="s">
        <v>1415</v>
      </c>
      <c r="F66" s="21" t="s">
        <v>1497</v>
      </c>
      <c r="G66" t="s">
        <v>1403</v>
      </c>
      <c r="H66" t="s">
        <v>1399</v>
      </c>
      <c r="I66">
        <v>8671</v>
      </c>
      <c r="K66" t="s">
        <v>1415</v>
      </c>
      <c r="L66" s="24" t="s">
        <v>213</v>
      </c>
    </row>
    <row r="67" spans="1:12" x14ac:dyDescent="0.3">
      <c r="A67" s="21" t="s">
        <v>215</v>
      </c>
      <c r="B67" s="21" t="s">
        <v>224</v>
      </c>
      <c r="C67" t="s">
        <v>709</v>
      </c>
      <c r="D67" s="23">
        <v>46262</v>
      </c>
      <c r="E67" t="s">
        <v>1415</v>
      </c>
      <c r="F67" s="21" t="s">
        <v>1498</v>
      </c>
      <c r="G67" t="s">
        <v>1403</v>
      </c>
      <c r="H67" t="s">
        <v>1399</v>
      </c>
      <c r="I67">
        <v>9078</v>
      </c>
      <c r="K67" t="s">
        <v>1415</v>
      </c>
      <c r="L67" s="24" t="s">
        <v>213</v>
      </c>
    </row>
    <row r="68" spans="1:12" x14ac:dyDescent="0.3">
      <c r="A68" s="21" t="s">
        <v>215</v>
      </c>
      <c r="B68" s="21" t="s">
        <v>224</v>
      </c>
      <c r="C68" t="s">
        <v>719</v>
      </c>
      <c r="D68" s="23">
        <v>46262</v>
      </c>
      <c r="E68" t="s">
        <v>1415</v>
      </c>
      <c r="F68" s="21" t="s">
        <v>1499</v>
      </c>
      <c r="G68" t="s">
        <v>1403</v>
      </c>
      <c r="H68" t="s">
        <v>1399</v>
      </c>
      <c r="I68">
        <v>9996</v>
      </c>
      <c r="K68" t="s">
        <v>1415</v>
      </c>
      <c r="L68" s="24" t="s">
        <v>213</v>
      </c>
    </row>
    <row r="69" spans="1:12" x14ac:dyDescent="0.3">
      <c r="A69" s="21" t="s">
        <v>215</v>
      </c>
      <c r="B69" s="21" t="s">
        <v>224</v>
      </c>
      <c r="C69" t="s">
        <v>440</v>
      </c>
      <c r="D69" s="23">
        <v>46253</v>
      </c>
      <c r="E69" t="s">
        <v>1415</v>
      </c>
      <c r="F69" s="21" t="s">
        <v>1496</v>
      </c>
      <c r="G69" t="s">
        <v>1403</v>
      </c>
      <c r="H69" t="s">
        <v>1399</v>
      </c>
      <c r="I69">
        <v>9609</v>
      </c>
      <c r="K69" t="s">
        <v>1415</v>
      </c>
      <c r="L69" s="24" t="s">
        <v>213</v>
      </c>
    </row>
    <row r="70" spans="1:12" x14ac:dyDescent="0.3">
      <c r="A70" s="21" t="s">
        <v>215</v>
      </c>
      <c r="B70" s="21" t="s">
        <v>224</v>
      </c>
      <c r="C70" t="s">
        <v>1276</v>
      </c>
      <c r="D70" s="23">
        <v>46263</v>
      </c>
      <c r="E70" t="s">
        <v>1415</v>
      </c>
      <c r="F70" s="21" t="s">
        <v>1501</v>
      </c>
      <c r="G70" t="s">
        <v>1403</v>
      </c>
      <c r="H70" t="s">
        <v>1399</v>
      </c>
      <c r="I70">
        <v>23736</v>
      </c>
      <c r="K70" t="s">
        <v>1415</v>
      </c>
      <c r="L70" s="24" t="s">
        <v>213</v>
      </c>
    </row>
    <row r="71" spans="1:12" x14ac:dyDescent="0.3">
      <c r="A71" s="22" t="s">
        <v>215</v>
      </c>
      <c r="B71" s="21" t="s">
        <v>224</v>
      </c>
      <c r="C71" t="s">
        <v>825</v>
      </c>
      <c r="D71" s="23">
        <v>46254</v>
      </c>
      <c r="E71" t="s">
        <v>1415</v>
      </c>
      <c r="F71" s="21" t="s">
        <v>1502</v>
      </c>
      <c r="G71" t="s">
        <v>1403</v>
      </c>
      <c r="H71" t="s">
        <v>1399</v>
      </c>
      <c r="I71">
        <v>428</v>
      </c>
      <c r="K71" t="s">
        <v>1415</v>
      </c>
      <c r="L71" s="24" t="s">
        <v>213</v>
      </c>
    </row>
    <row r="72" spans="1:12" x14ac:dyDescent="0.3">
      <c r="A72" s="21" t="s">
        <v>731</v>
      </c>
      <c r="B72" s="21" t="s">
        <v>732</v>
      </c>
      <c r="C72" t="s">
        <v>729</v>
      </c>
      <c r="D72" s="23">
        <v>46263</v>
      </c>
      <c r="E72" t="s">
        <v>1423</v>
      </c>
      <c r="F72" s="21" t="s">
        <v>1503</v>
      </c>
      <c r="G72" t="s">
        <v>1403</v>
      </c>
      <c r="H72" t="s">
        <v>1399</v>
      </c>
      <c r="I72">
        <v>7151</v>
      </c>
      <c r="K72" t="s">
        <v>1423</v>
      </c>
      <c r="L72" s="24" t="s">
        <v>627</v>
      </c>
    </row>
    <row r="73" spans="1:12" x14ac:dyDescent="0.3">
      <c r="A73" s="21" t="s">
        <v>731</v>
      </c>
      <c r="B73" s="21" t="s">
        <v>732</v>
      </c>
      <c r="C73" t="s">
        <v>741</v>
      </c>
      <c r="D73" s="23">
        <v>46263</v>
      </c>
      <c r="E73" t="s">
        <v>1423</v>
      </c>
      <c r="F73" s="21" t="s">
        <v>1504</v>
      </c>
      <c r="G73" t="s">
        <v>1403</v>
      </c>
      <c r="H73" t="s">
        <v>1399</v>
      </c>
      <c r="I73">
        <v>9989</v>
      </c>
      <c r="K73" t="s">
        <v>1423</v>
      </c>
      <c r="L73" s="24" t="s">
        <v>627</v>
      </c>
    </row>
    <row r="74" spans="1:12" x14ac:dyDescent="0.3">
      <c r="A74" s="22" t="s">
        <v>731</v>
      </c>
      <c r="B74" s="21" t="s">
        <v>732</v>
      </c>
      <c r="C74" t="s">
        <v>1044</v>
      </c>
      <c r="D74" s="23">
        <v>46263</v>
      </c>
      <c r="E74" t="s">
        <v>1423</v>
      </c>
      <c r="F74" s="21" t="s">
        <v>1505</v>
      </c>
      <c r="G74" t="s">
        <v>1403</v>
      </c>
      <c r="H74" t="s">
        <v>1399</v>
      </c>
      <c r="I74">
        <v>1470</v>
      </c>
      <c r="K74" t="s">
        <v>1423</v>
      </c>
      <c r="L74" s="24" t="s">
        <v>627</v>
      </c>
    </row>
    <row r="75" spans="1:12" x14ac:dyDescent="0.3">
      <c r="A75" s="21" t="s">
        <v>664</v>
      </c>
      <c r="B75" s="21" t="s">
        <v>665</v>
      </c>
      <c r="C75" t="s">
        <v>662</v>
      </c>
      <c r="D75" s="23">
        <v>46259</v>
      </c>
      <c r="E75" t="s">
        <v>1422</v>
      </c>
      <c r="F75" s="21" t="s">
        <v>1506</v>
      </c>
      <c r="G75" t="s">
        <v>1403</v>
      </c>
      <c r="H75" t="s">
        <v>1399</v>
      </c>
      <c r="I75">
        <v>10918</v>
      </c>
      <c r="K75" t="s">
        <v>1422</v>
      </c>
      <c r="L75" s="24" t="s">
        <v>503</v>
      </c>
    </row>
    <row r="76" spans="1:12" x14ac:dyDescent="0.3">
      <c r="A76" s="21" t="s">
        <v>664</v>
      </c>
      <c r="B76" s="21" t="s">
        <v>665</v>
      </c>
      <c r="C76" t="s">
        <v>1235</v>
      </c>
      <c r="D76" s="23">
        <v>46259</v>
      </c>
      <c r="E76" t="s">
        <v>1422</v>
      </c>
      <c r="F76" s="21" t="s">
        <v>1507</v>
      </c>
      <c r="G76" t="s">
        <v>1403</v>
      </c>
      <c r="H76" t="s">
        <v>1399</v>
      </c>
      <c r="I76">
        <v>4232</v>
      </c>
      <c r="K76" t="s">
        <v>1422</v>
      </c>
      <c r="L76" s="24" t="s">
        <v>503</v>
      </c>
    </row>
    <row r="77" spans="1:12" x14ac:dyDescent="0.3">
      <c r="A77" s="22" t="s">
        <v>664</v>
      </c>
      <c r="B77" s="21" t="s">
        <v>665</v>
      </c>
      <c r="C77" t="s">
        <v>1272</v>
      </c>
      <c r="D77" s="23">
        <v>46261</v>
      </c>
      <c r="E77" t="s">
        <v>1422</v>
      </c>
      <c r="F77" s="21" t="s">
        <v>1507</v>
      </c>
      <c r="G77" t="s">
        <v>1403</v>
      </c>
      <c r="H77" t="s">
        <v>1399</v>
      </c>
      <c r="I77">
        <v>4232</v>
      </c>
      <c r="K77" t="s">
        <v>1422</v>
      </c>
      <c r="L77" s="24" t="s">
        <v>503</v>
      </c>
    </row>
    <row r="78" spans="1:12" x14ac:dyDescent="0.3">
      <c r="A78" s="21" t="s">
        <v>558</v>
      </c>
      <c r="B78" s="21" t="s">
        <v>559</v>
      </c>
      <c r="C78" t="s">
        <v>574</v>
      </c>
      <c r="D78" s="23">
        <v>46256</v>
      </c>
      <c r="E78" t="s">
        <v>1424</v>
      </c>
      <c r="F78" s="21" t="s">
        <v>1508</v>
      </c>
      <c r="G78" t="s">
        <v>1403</v>
      </c>
      <c r="H78" t="s">
        <v>1399</v>
      </c>
      <c r="I78">
        <v>8255</v>
      </c>
      <c r="K78" t="s">
        <v>1424</v>
      </c>
      <c r="L78" s="24" t="s">
        <v>560</v>
      </c>
    </row>
    <row r="79" spans="1:12" x14ac:dyDescent="0.3">
      <c r="A79" s="21" t="s">
        <v>558</v>
      </c>
      <c r="B79" s="21" t="s">
        <v>559</v>
      </c>
      <c r="C79" t="s">
        <v>556</v>
      </c>
      <c r="D79" s="23">
        <v>46256</v>
      </c>
      <c r="E79" t="s">
        <v>1424</v>
      </c>
      <c r="F79" s="21" t="s">
        <v>1509</v>
      </c>
      <c r="G79" t="s">
        <v>1403</v>
      </c>
      <c r="H79" t="s">
        <v>1399</v>
      </c>
      <c r="I79">
        <v>6743</v>
      </c>
      <c r="K79" t="s">
        <v>1424</v>
      </c>
      <c r="L79" s="24" t="s">
        <v>560</v>
      </c>
    </row>
    <row r="80" spans="1:12" x14ac:dyDescent="0.3">
      <c r="A80" s="21" t="s">
        <v>558</v>
      </c>
      <c r="B80" s="21" t="s">
        <v>559</v>
      </c>
      <c r="C80" t="s">
        <v>678</v>
      </c>
      <c r="D80" s="23">
        <v>46260</v>
      </c>
      <c r="E80" t="s">
        <v>1424</v>
      </c>
      <c r="F80" s="21" t="s">
        <v>1510</v>
      </c>
      <c r="G80" t="s">
        <v>1403</v>
      </c>
      <c r="H80" t="s">
        <v>1399</v>
      </c>
      <c r="I80">
        <v>7119</v>
      </c>
      <c r="K80" t="s">
        <v>1424</v>
      </c>
      <c r="L80" s="24" t="s">
        <v>560</v>
      </c>
    </row>
    <row r="81" spans="1:12" x14ac:dyDescent="0.3">
      <c r="A81" s="21" t="s">
        <v>558</v>
      </c>
      <c r="B81" s="21" t="s">
        <v>559</v>
      </c>
      <c r="C81" t="s">
        <v>1189</v>
      </c>
      <c r="D81" s="23">
        <v>46256</v>
      </c>
      <c r="E81" t="s">
        <v>1424</v>
      </c>
      <c r="F81" s="21" t="s">
        <v>1513</v>
      </c>
      <c r="G81" t="s">
        <v>1403</v>
      </c>
      <c r="H81" t="s">
        <v>1399</v>
      </c>
      <c r="I81">
        <v>8081</v>
      </c>
      <c r="K81" t="s">
        <v>1424</v>
      </c>
      <c r="L81" s="24" t="s">
        <v>560</v>
      </c>
    </row>
    <row r="82" spans="1:12" x14ac:dyDescent="0.3">
      <c r="A82" s="21" t="s">
        <v>558</v>
      </c>
      <c r="B82" s="21" t="s">
        <v>559</v>
      </c>
      <c r="C82" t="s">
        <v>1242</v>
      </c>
      <c r="D82" s="23">
        <v>46260</v>
      </c>
      <c r="E82" t="s">
        <v>1424</v>
      </c>
      <c r="F82" s="21" t="s">
        <v>1513</v>
      </c>
      <c r="G82" t="s">
        <v>1403</v>
      </c>
      <c r="H82" t="s">
        <v>1399</v>
      </c>
      <c r="I82">
        <v>4031</v>
      </c>
      <c r="K82" t="s">
        <v>1424</v>
      </c>
      <c r="L82" s="24" t="s">
        <v>560</v>
      </c>
    </row>
    <row r="83" spans="1:12" x14ac:dyDescent="0.3">
      <c r="A83" s="21" t="s">
        <v>558</v>
      </c>
      <c r="B83" s="21" t="s">
        <v>559</v>
      </c>
      <c r="C83" t="s">
        <v>1249</v>
      </c>
      <c r="D83" s="23">
        <v>46261</v>
      </c>
      <c r="E83" t="s">
        <v>1424</v>
      </c>
      <c r="F83" s="21" t="s">
        <v>1513</v>
      </c>
      <c r="G83" t="s">
        <v>1403</v>
      </c>
      <c r="H83" t="s">
        <v>1399</v>
      </c>
      <c r="I83">
        <v>4264</v>
      </c>
      <c r="K83" t="s">
        <v>1424</v>
      </c>
      <c r="L83" s="24" t="s">
        <v>560</v>
      </c>
    </row>
    <row r="84" spans="1:12" x14ac:dyDescent="0.3">
      <c r="A84" s="22" t="s">
        <v>558</v>
      </c>
      <c r="B84" s="21" t="s">
        <v>559</v>
      </c>
      <c r="C84" t="s">
        <v>988</v>
      </c>
      <c r="D84" s="23">
        <v>46260</v>
      </c>
      <c r="E84" t="s">
        <v>1424</v>
      </c>
      <c r="F84" s="21" t="s">
        <v>1514</v>
      </c>
      <c r="G84" t="s">
        <v>1403</v>
      </c>
      <c r="H84" t="s">
        <v>1399</v>
      </c>
      <c r="I84">
        <v>1013</v>
      </c>
      <c r="K84" t="s">
        <v>1424</v>
      </c>
      <c r="L84" s="24" t="s">
        <v>560</v>
      </c>
    </row>
    <row r="85" spans="1:12" x14ac:dyDescent="0.3">
      <c r="A85" s="21" t="s">
        <v>607</v>
      </c>
      <c r="B85" s="21" t="s">
        <v>608</v>
      </c>
      <c r="C85" t="s">
        <v>605</v>
      </c>
      <c r="D85" s="23">
        <v>46257</v>
      </c>
      <c r="E85" t="s">
        <v>1417</v>
      </c>
      <c r="F85" s="21" t="s">
        <v>1515</v>
      </c>
      <c r="G85" t="s">
        <v>1403</v>
      </c>
      <c r="H85" t="s">
        <v>1399</v>
      </c>
      <c r="I85">
        <v>5734</v>
      </c>
      <c r="K85" t="s">
        <v>1417</v>
      </c>
      <c r="L85" s="24" t="s">
        <v>339</v>
      </c>
    </row>
    <row r="86" spans="1:12" x14ac:dyDescent="0.3">
      <c r="A86" s="21" t="s">
        <v>607</v>
      </c>
      <c r="B86" s="21" t="s">
        <v>608</v>
      </c>
      <c r="C86" t="s">
        <v>620</v>
      </c>
      <c r="D86" s="23">
        <v>46257</v>
      </c>
      <c r="E86" t="s">
        <v>1417</v>
      </c>
      <c r="F86" s="21" t="s">
        <v>1516</v>
      </c>
      <c r="G86" t="s">
        <v>1403</v>
      </c>
      <c r="H86" t="s">
        <v>1399</v>
      </c>
      <c r="I86">
        <v>4969</v>
      </c>
      <c r="K86" t="s">
        <v>1417</v>
      </c>
      <c r="L86" s="24" t="s">
        <v>339</v>
      </c>
    </row>
    <row r="87" spans="1:12" x14ac:dyDescent="0.3">
      <c r="A87" s="21" t="s">
        <v>607</v>
      </c>
      <c r="B87" s="21" t="s">
        <v>608</v>
      </c>
      <c r="C87" t="s">
        <v>796</v>
      </c>
      <c r="D87" s="23">
        <v>46265</v>
      </c>
      <c r="E87" t="s">
        <v>1417</v>
      </c>
      <c r="F87" s="21" t="s">
        <v>1517</v>
      </c>
      <c r="G87" t="s">
        <v>1403</v>
      </c>
      <c r="H87" t="s">
        <v>1399</v>
      </c>
      <c r="I87">
        <v>5906</v>
      </c>
      <c r="K87" t="s">
        <v>1417</v>
      </c>
      <c r="L87" s="24" t="s">
        <v>339</v>
      </c>
    </row>
    <row r="88" spans="1:12" x14ac:dyDescent="0.3">
      <c r="A88" s="21" t="s">
        <v>607</v>
      </c>
      <c r="B88" s="21" t="s">
        <v>608</v>
      </c>
      <c r="C88" t="s">
        <v>789</v>
      </c>
      <c r="D88" s="23">
        <v>46265</v>
      </c>
      <c r="E88" t="s">
        <v>1417</v>
      </c>
      <c r="F88" s="21" t="s">
        <v>1518</v>
      </c>
      <c r="G88" t="s">
        <v>1403</v>
      </c>
      <c r="H88" t="s">
        <v>1399</v>
      </c>
      <c r="I88">
        <v>5395</v>
      </c>
      <c r="K88" t="s">
        <v>1417</v>
      </c>
      <c r="L88" s="24" t="s">
        <v>339</v>
      </c>
    </row>
    <row r="89" spans="1:12" x14ac:dyDescent="0.3">
      <c r="A89" s="21" t="s">
        <v>607</v>
      </c>
      <c r="B89" s="21" t="s">
        <v>608</v>
      </c>
      <c r="C89" t="s">
        <v>1212</v>
      </c>
      <c r="D89" s="23">
        <v>46257</v>
      </c>
      <c r="E89" t="s">
        <v>1417</v>
      </c>
      <c r="F89" s="21" t="s">
        <v>1520</v>
      </c>
      <c r="G89" t="s">
        <v>1403</v>
      </c>
      <c r="H89" t="s">
        <v>1399</v>
      </c>
      <c r="I89">
        <v>4745</v>
      </c>
      <c r="K89" t="s">
        <v>1417</v>
      </c>
      <c r="L89" s="24" t="s">
        <v>339</v>
      </c>
    </row>
    <row r="90" spans="1:12" x14ac:dyDescent="0.3">
      <c r="A90" s="22" t="s">
        <v>607</v>
      </c>
      <c r="B90" s="21" t="s">
        <v>608</v>
      </c>
      <c r="C90" t="s">
        <v>1295</v>
      </c>
      <c r="D90" s="23">
        <v>46265</v>
      </c>
      <c r="E90" t="s">
        <v>1417</v>
      </c>
      <c r="F90" s="21" t="s">
        <v>1521</v>
      </c>
      <c r="G90" t="s">
        <v>1403</v>
      </c>
      <c r="H90" t="s">
        <v>1399</v>
      </c>
      <c r="I90">
        <v>7879</v>
      </c>
      <c r="K90" t="s">
        <v>1417</v>
      </c>
      <c r="L90" s="24" t="s">
        <v>339</v>
      </c>
    </row>
    <row r="91" spans="1:12" x14ac:dyDescent="0.3">
      <c r="A91" s="21" t="s">
        <v>501</v>
      </c>
      <c r="B91" s="21" t="s">
        <v>502</v>
      </c>
      <c r="C91" t="s">
        <v>515</v>
      </c>
      <c r="D91" s="23">
        <v>46254</v>
      </c>
      <c r="E91" t="s">
        <v>1422</v>
      </c>
      <c r="F91" s="21" t="s">
        <v>1522</v>
      </c>
      <c r="G91" t="s">
        <v>1403</v>
      </c>
      <c r="H91" t="s">
        <v>1399</v>
      </c>
      <c r="I91">
        <v>8333</v>
      </c>
      <c r="K91" t="s">
        <v>1422</v>
      </c>
      <c r="L91" s="24" t="s">
        <v>503</v>
      </c>
    </row>
    <row r="92" spans="1:12" x14ac:dyDescent="0.3">
      <c r="A92" s="21" t="s">
        <v>501</v>
      </c>
      <c r="B92" s="21" t="s">
        <v>502</v>
      </c>
      <c r="C92" t="s">
        <v>499</v>
      </c>
      <c r="D92" s="23">
        <v>46254</v>
      </c>
      <c r="E92" t="s">
        <v>1422</v>
      </c>
      <c r="F92" s="21" t="s">
        <v>1523</v>
      </c>
      <c r="G92" t="s">
        <v>1403</v>
      </c>
      <c r="H92" t="s">
        <v>1399</v>
      </c>
      <c r="I92">
        <v>7459</v>
      </c>
      <c r="K92" t="s">
        <v>1422</v>
      </c>
      <c r="L92" s="24" t="s">
        <v>503</v>
      </c>
    </row>
    <row r="93" spans="1:12" x14ac:dyDescent="0.3">
      <c r="A93" s="22" t="s">
        <v>501</v>
      </c>
      <c r="B93" s="21" t="s">
        <v>502</v>
      </c>
      <c r="C93" t="s">
        <v>1165</v>
      </c>
      <c r="D93" s="23">
        <v>46254</v>
      </c>
      <c r="E93" t="s">
        <v>1422</v>
      </c>
      <c r="F93" s="21" t="s">
        <v>1524</v>
      </c>
      <c r="G93" t="s">
        <v>1403</v>
      </c>
      <c r="H93" t="s">
        <v>1399</v>
      </c>
      <c r="I93">
        <v>14669</v>
      </c>
      <c r="K93" t="s">
        <v>1422</v>
      </c>
      <c r="L93" s="24" t="s">
        <v>503</v>
      </c>
    </row>
    <row r="94" spans="1:12" x14ac:dyDescent="0.3">
      <c r="I94">
        <f>SUM(I2:I93)</f>
        <v>692470</v>
      </c>
    </row>
    <row r="101" spans="1:13" x14ac:dyDescent="0.3">
      <c r="A101" s="21" t="s">
        <v>356</v>
      </c>
      <c r="B101" s="21" t="s">
        <v>357</v>
      </c>
      <c r="C101" t="s">
        <v>1339</v>
      </c>
      <c r="D101" s="23">
        <v>46252</v>
      </c>
      <c r="E101" t="s">
        <v>1416</v>
      </c>
      <c r="F101" s="21" t="s">
        <v>1431</v>
      </c>
      <c r="G101" t="s">
        <v>1403</v>
      </c>
      <c r="H101" t="s">
        <v>1410</v>
      </c>
      <c r="I101">
        <v>8328</v>
      </c>
      <c r="J101" t="s">
        <v>1527</v>
      </c>
      <c r="K101" t="str">
        <f>CONCATENATE(J101,I101)</f>
        <v>-8328</v>
      </c>
      <c r="L101" t="s">
        <v>1416</v>
      </c>
      <c r="M101" s="24" t="s">
        <v>358</v>
      </c>
    </row>
    <row r="102" spans="1:13" x14ac:dyDescent="0.3">
      <c r="A102" s="21" t="s">
        <v>159</v>
      </c>
      <c r="B102" s="21" t="s">
        <v>160</v>
      </c>
      <c r="C102" t="s">
        <v>1331</v>
      </c>
      <c r="D102" s="23">
        <v>46250</v>
      </c>
      <c r="E102" t="s">
        <v>1415</v>
      </c>
      <c r="F102" s="21" t="s">
        <v>1435</v>
      </c>
      <c r="G102" t="s">
        <v>1403</v>
      </c>
      <c r="H102" t="s">
        <v>1410</v>
      </c>
      <c r="I102">
        <v>10473</v>
      </c>
      <c r="J102" t="s">
        <v>1527</v>
      </c>
      <c r="K102" t="str">
        <f t="shared" ref="K102:K114" si="0">CONCATENATE(J102,I102)</f>
        <v>-10473</v>
      </c>
      <c r="L102" t="s">
        <v>1415</v>
      </c>
      <c r="M102" s="24" t="s">
        <v>213</v>
      </c>
    </row>
    <row r="103" spans="1:13" x14ac:dyDescent="0.3">
      <c r="A103" s="22" t="s">
        <v>159</v>
      </c>
      <c r="B103" s="21" t="s">
        <v>160</v>
      </c>
      <c r="C103" t="s">
        <v>1336</v>
      </c>
      <c r="D103" s="23">
        <v>46250</v>
      </c>
      <c r="E103" t="s">
        <v>1415</v>
      </c>
      <c r="F103" s="21" t="s">
        <v>1436</v>
      </c>
      <c r="G103" t="s">
        <v>1403</v>
      </c>
      <c r="H103" t="s">
        <v>1410</v>
      </c>
      <c r="I103">
        <v>19251</v>
      </c>
      <c r="J103" t="s">
        <v>1527</v>
      </c>
      <c r="K103" t="str">
        <f t="shared" si="0"/>
        <v>-19251</v>
      </c>
      <c r="L103" t="s">
        <v>1415</v>
      </c>
      <c r="M103" s="24" t="s">
        <v>213</v>
      </c>
    </row>
    <row r="104" spans="1:13" x14ac:dyDescent="0.3">
      <c r="A104" s="22" t="s">
        <v>777</v>
      </c>
      <c r="B104" s="21" t="s">
        <v>778</v>
      </c>
      <c r="C104" t="s">
        <v>1366</v>
      </c>
      <c r="D104" s="23">
        <v>46252</v>
      </c>
      <c r="E104" t="s">
        <v>1417</v>
      </c>
      <c r="F104" s="21" t="s">
        <v>1465</v>
      </c>
      <c r="G104" t="s">
        <v>1403</v>
      </c>
      <c r="H104" t="s">
        <v>1410</v>
      </c>
      <c r="I104">
        <v>995</v>
      </c>
      <c r="J104" t="s">
        <v>1527</v>
      </c>
      <c r="K104" t="str">
        <f t="shared" si="0"/>
        <v>-995</v>
      </c>
      <c r="L104" t="s">
        <v>1417</v>
      </c>
      <c r="M104" s="24" t="s">
        <v>339</v>
      </c>
    </row>
    <row r="105" spans="1:13" x14ac:dyDescent="0.3">
      <c r="A105" s="21" t="s">
        <v>584</v>
      </c>
      <c r="B105" s="21" t="s">
        <v>585</v>
      </c>
      <c r="C105" t="s">
        <v>1354</v>
      </c>
      <c r="D105" s="23">
        <v>46256</v>
      </c>
      <c r="E105" s="24" t="s">
        <v>1526</v>
      </c>
      <c r="F105" s="21" t="s">
        <v>1468</v>
      </c>
      <c r="G105" t="s">
        <v>1403</v>
      </c>
      <c r="H105" t="s">
        <v>1410</v>
      </c>
      <c r="I105">
        <v>8796</v>
      </c>
      <c r="J105" t="s">
        <v>1527</v>
      </c>
      <c r="K105" t="str">
        <f t="shared" si="0"/>
        <v>-8796</v>
      </c>
      <c r="L105" s="24" t="s">
        <v>1526</v>
      </c>
      <c r="M105" s="24" t="s">
        <v>1525</v>
      </c>
    </row>
    <row r="106" spans="1:13" x14ac:dyDescent="0.3">
      <c r="A106" s="21" t="s">
        <v>584</v>
      </c>
      <c r="B106" s="21" t="s">
        <v>585</v>
      </c>
      <c r="C106" t="s">
        <v>1357</v>
      </c>
      <c r="D106" s="23">
        <v>46256</v>
      </c>
      <c r="E106" s="24" t="s">
        <v>1526</v>
      </c>
      <c r="F106" s="21" t="s">
        <v>1469</v>
      </c>
      <c r="G106" t="s">
        <v>1403</v>
      </c>
      <c r="H106" t="s">
        <v>1410</v>
      </c>
      <c r="I106">
        <v>8910</v>
      </c>
      <c r="J106" t="s">
        <v>1527</v>
      </c>
      <c r="K106" t="str">
        <f t="shared" si="0"/>
        <v>-8910</v>
      </c>
      <c r="L106" s="24" t="s">
        <v>1526</v>
      </c>
      <c r="M106" s="24" t="s">
        <v>1525</v>
      </c>
    </row>
    <row r="107" spans="1:13" x14ac:dyDescent="0.3">
      <c r="A107" s="21" t="s">
        <v>885</v>
      </c>
      <c r="B107" s="21" t="s">
        <v>886</v>
      </c>
      <c r="C107" t="s">
        <v>1318</v>
      </c>
      <c r="D107" s="23">
        <v>46250</v>
      </c>
      <c r="E107" t="s">
        <v>1415</v>
      </c>
      <c r="F107" s="21" t="s">
        <v>1471</v>
      </c>
      <c r="G107" t="s">
        <v>1403</v>
      </c>
      <c r="H107" t="s">
        <v>1410</v>
      </c>
      <c r="I107">
        <v>17753</v>
      </c>
      <c r="J107" t="s">
        <v>1527</v>
      </c>
      <c r="K107" t="str">
        <f t="shared" si="0"/>
        <v>-17753</v>
      </c>
      <c r="L107" t="s">
        <v>1415</v>
      </c>
      <c r="M107" s="24" t="s">
        <v>213</v>
      </c>
    </row>
    <row r="108" spans="1:13" x14ac:dyDescent="0.3">
      <c r="A108" s="21" t="s">
        <v>269</v>
      </c>
      <c r="B108" s="21" t="s">
        <v>270</v>
      </c>
      <c r="C108" t="s">
        <v>1342</v>
      </c>
      <c r="D108" s="23">
        <v>46253</v>
      </c>
      <c r="E108" t="s">
        <v>1421</v>
      </c>
      <c r="F108" s="21" t="s">
        <v>1484</v>
      </c>
      <c r="G108" t="s">
        <v>1403</v>
      </c>
      <c r="H108" t="s">
        <v>1410</v>
      </c>
      <c r="I108">
        <v>9084</v>
      </c>
      <c r="J108" t="s">
        <v>1527</v>
      </c>
      <c r="K108" t="str">
        <f t="shared" si="0"/>
        <v>-9084</v>
      </c>
      <c r="L108" t="s">
        <v>1421</v>
      </c>
      <c r="M108" s="24" t="s">
        <v>271</v>
      </c>
    </row>
    <row r="109" spans="1:13" x14ac:dyDescent="0.3">
      <c r="A109" s="21" t="s">
        <v>269</v>
      </c>
      <c r="B109" s="21" t="s">
        <v>270</v>
      </c>
      <c r="C109" t="s">
        <v>1346</v>
      </c>
      <c r="D109" s="23">
        <v>46253</v>
      </c>
      <c r="E109" t="s">
        <v>1421</v>
      </c>
      <c r="F109" s="21" t="s">
        <v>1485</v>
      </c>
      <c r="G109" t="s">
        <v>1403</v>
      </c>
      <c r="H109" t="s">
        <v>1410</v>
      </c>
      <c r="I109">
        <v>8557</v>
      </c>
      <c r="J109" t="s">
        <v>1527</v>
      </c>
      <c r="K109" t="str">
        <f t="shared" si="0"/>
        <v>-8557</v>
      </c>
      <c r="L109" t="s">
        <v>1421</v>
      </c>
      <c r="M109" s="24" t="s">
        <v>271</v>
      </c>
    </row>
    <row r="110" spans="1:13" x14ac:dyDescent="0.3">
      <c r="A110" s="22" t="s">
        <v>269</v>
      </c>
      <c r="B110" s="21" t="s">
        <v>270</v>
      </c>
      <c r="C110" t="s">
        <v>1351</v>
      </c>
      <c r="D110" s="23">
        <v>46254</v>
      </c>
      <c r="E110" t="s">
        <v>1421</v>
      </c>
      <c r="F110" s="21" t="s">
        <v>1486</v>
      </c>
      <c r="G110" t="s">
        <v>1403</v>
      </c>
      <c r="H110" t="s">
        <v>1410</v>
      </c>
      <c r="I110">
        <v>8224</v>
      </c>
      <c r="J110" t="s">
        <v>1527</v>
      </c>
      <c r="K110" t="str">
        <f t="shared" si="0"/>
        <v>-8224</v>
      </c>
      <c r="L110" t="s">
        <v>1421</v>
      </c>
      <c r="M110" s="24" t="s">
        <v>271</v>
      </c>
    </row>
    <row r="111" spans="1:13" x14ac:dyDescent="0.3">
      <c r="A111" s="21" t="s">
        <v>215</v>
      </c>
      <c r="B111" s="21" t="s">
        <v>224</v>
      </c>
      <c r="C111" t="s">
        <v>1347</v>
      </c>
      <c r="D111" s="23">
        <v>46253</v>
      </c>
      <c r="E111" t="s">
        <v>1415</v>
      </c>
      <c r="F111" s="21" t="s">
        <v>1500</v>
      </c>
      <c r="G111" t="s">
        <v>1403</v>
      </c>
      <c r="H111" t="s">
        <v>1410</v>
      </c>
      <c r="I111">
        <v>8950</v>
      </c>
      <c r="J111" t="s">
        <v>1527</v>
      </c>
      <c r="K111" t="str">
        <f t="shared" si="0"/>
        <v>-8950</v>
      </c>
      <c r="L111" t="s">
        <v>1415</v>
      </c>
      <c r="M111" s="24" t="s">
        <v>213</v>
      </c>
    </row>
    <row r="112" spans="1:13" x14ac:dyDescent="0.3">
      <c r="A112" s="21" t="s">
        <v>558</v>
      </c>
      <c r="B112" s="21" t="s">
        <v>559</v>
      </c>
      <c r="C112" t="s">
        <v>1358</v>
      </c>
      <c r="D112" s="23">
        <v>46260</v>
      </c>
      <c r="E112" t="s">
        <v>1424</v>
      </c>
      <c r="F112" s="21" t="s">
        <v>1511</v>
      </c>
      <c r="G112" t="s">
        <v>1403</v>
      </c>
      <c r="H112" t="s">
        <v>1410</v>
      </c>
      <c r="I112">
        <v>8056</v>
      </c>
      <c r="J112" t="s">
        <v>1527</v>
      </c>
      <c r="K112" t="str">
        <f t="shared" si="0"/>
        <v>-8056</v>
      </c>
      <c r="L112" t="s">
        <v>1424</v>
      </c>
      <c r="M112" s="24" t="s">
        <v>560</v>
      </c>
    </row>
    <row r="113" spans="1:13" x14ac:dyDescent="0.3">
      <c r="A113" s="21" t="s">
        <v>558</v>
      </c>
      <c r="B113" s="21" t="s">
        <v>559</v>
      </c>
      <c r="C113" t="s">
        <v>1379</v>
      </c>
      <c r="D113" s="23">
        <v>46261</v>
      </c>
      <c r="E113" t="s">
        <v>1424</v>
      </c>
      <c r="F113" s="21" t="s">
        <v>1512</v>
      </c>
      <c r="G113" t="s">
        <v>1403</v>
      </c>
      <c r="H113" t="s">
        <v>1410</v>
      </c>
      <c r="I113">
        <v>8081</v>
      </c>
      <c r="J113" t="s">
        <v>1527</v>
      </c>
      <c r="K113" t="str">
        <f t="shared" si="0"/>
        <v>-8081</v>
      </c>
      <c r="L113" t="s">
        <v>1424</v>
      </c>
      <c r="M113" s="24" t="s">
        <v>560</v>
      </c>
    </row>
    <row r="114" spans="1:13" x14ac:dyDescent="0.3">
      <c r="A114" s="21" t="s">
        <v>607</v>
      </c>
      <c r="B114" s="21" t="s">
        <v>608</v>
      </c>
      <c r="C114" t="s">
        <v>1380</v>
      </c>
      <c r="D114" s="23">
        <v>46265</v>
      </c>
      <c r="E114" t="s">
        <v>1417</v>
      </c>
      <c r="F114" s="21" t="s">
        <v>1519</v>
      </c>
      <c r="G114" t="s">
        <v>1403</v>
      </c>
      <c r="H114" t="s">
        <v>1410</v>
      </c>
      <c r="I114">
        <v>7879</v>
      </c>
      <c r="J114" t="s">
        <v>1527</v>
      </c>
      <c r="K114" t="str">
        <f t="shared" si="0"/>
        <v>-7879</v>
      </c>
      <c r="L114" t="s">
        <v>1417</v>
      </c>
      <c r="M114" s="24" t="s">
        <v>339</v>
      </c>
    </row>
    <row r="115" spans="1:13" x14ac:dyDescent="0.3">
      <c r="I115">
        <f>SUM(I101:I114)</f>
        <v>133337</v>
      </c>
    </row>
  </sheetData>
  <autoFilter ref="A1:I93" xr:uid="{16908227-2DF4-4E5A-864D-DCCE07B2F234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7B8F0-A533-4DFA-8EA0-1B7F61B35573}">
  <dimension ref="A1:S222"/>
  <sheetViews>
    <sheetView topLeftCell="N1" workbookViewId="0">
      <selection activeCell="R2" sqref="R2"/>
    </sheetView>
  </sheetViews>
  <sheetFormatPr defaultRowHeight="14.4" x14ac:dyDescent="0.3"/>
  <cols>
    <col min="1" max="1" width="18.21875" bestFit="1" customWidth="1"/>
    <col min="2" max="2" width="12.33203125" bestFit="1" customWidth="1"/>
    <col min="3" max="3" width="30.109375" bestFit="1" customWidth="1"/>
    <col min="4" max="4" width="31" bestFit="1" customWidth="1"/>
    <col min="5" max="5" width="12.33203125" bestFit="1" customWidth="1"/>
    <col min="6" max="6" width="11.44140625" bestFit="1" customWidth="1"/>
    <col min="7" max="7" width="19.44140625" bestFit="1" customWidth="1"/>
    <col min="8" max="8" width="14.5546875" bestFit="1" customWidth="1"/>
    <col min="9" max="9" width="8.6640625" bestFit="1" customWidth="1"/>
    <col min="10" max="10" width="14.5546875" bestFit="1" customWidth="1"/>
    <col min="11" max="11" width="12" bestFit="1" customWidth="1"/>
    <col min="12" max="12" width="6" bestFit="1" customWidth="1"/>
    <col min="13" max="13" width="18.21875" bestFit="1" customWidth="1"/>
    <col min="14" max="14" width="90.21875" customWidth="1"/>
    <col min="15" max="15" width="9.44140625" bestFit="1" customWidth="1"/>
    <col min="16" max="16" width="15" bestFit="1" customWidth="1"/>
    <col min="17" max="17" width="12.33203125" bestFit="1" customWidth="1"/>
    <col min="18" max="18" width="4.33203125" bestFit="1" customWidth="1"/>
    <col min="19" max="19" width="13.33203125" bestFit="1" customWidth="1"/>
  </cols>
  <sheetData>
    <row r="1" spans="1:19" x14ac:dyDescent="0.3">
      <c r="A1" s="7" t="s">
        <v>1384</v>
      </c>
      <c r="B1" s="7" t="s">
        <v>1385</v>
      </c>
      <c r="C1" s="8" t="s">
        <v>1386</v>
      </c>
      <c r="D1" s="7" t="s">
        <v>5</v>
      </c>
      <c r="E1" s="7" t="s">
        <v>9</v>
      </c>
      <c r="F1" s="7" t="s">
        <v>1387</v>
      </c>
      <c r="G1" s="9" t="s">
        <v>1388</v>
      </c>
      <c r="H1" s="9" t="s">
        <v>1389</v>
      </c>
      <c r="I1" s="7" t="s">
        <v>1390</v>
      </c>
      <c r="J1" s="7" t="s">
        <v>1391</v>
      </c>
      <c r="K1" s="10" t="s">
        <v>1392</v>
      </c>
      <c r="L1" s="11" t="s">
        <v>1393</v>
      </c>
      <c r="M1" s="11" t="s">
        <v>76</v>
      </c>
      <c r="N1" s="11" t="s">
        <v>1394</v>
      </c>
      <c r="O1" s="11" t="s">
        <v>1395</v>
      </c>
      <c r="P1" s="11" t="s">
        <v>1396</v>
      </c>
      <c r="Q1" s="11" t="s">
        <v>76</v>
      </c>
      <c r="R1" s="11" t="s">
        <v>1397</v>
      </c>
      <c r="S1" s="7" t="s">
        <v>1398</v>
      </c>
    </row>
    <row r="2" spans="1:19" x14ac:dyDescent="0.3">
      <c r="A2" s="12" t="s">
        <v>1399</v>
      </c>
      <c r="B2" s="13" t="s">
        <v>1400</v>
      </c>
      <c r="C2" s="5" t="s">
        <v>132</v>
      </c>
      <c r="D2" s="5" t="s">
        <v>136</v>
      </c>
      <c r="E2" s="5" t="s">
        <v>213</v>
      </c>
      <c r="F2" s="5" t="s">
        <v>133</v>
      </c>
      <c r="G2" s="14" t="s">
        <v>1401</v>
      </c>
      <c r="H2" s="14" t="s">
        <v>1402</v>
      </c>
      <c r="I2" s="5">
        <v>19450</v>
      </c>
      <c r="J2" s="5" t="s">
        <v>130</v>
      </c>
      <c r="K2" s="5" t="s">
        <v>92</v>
      </c>
      <c r="L2" s="16">
        <v>80003</v>
      </c>
      <c r="M2" s="16" t="str">
        <f>CONCATENATE(L2,"-",E2)</f>
        <v>80003-62-MUM-SSS</v>
      </c>
      <c r="N2" s="16" t="str">
        <f>CONCATENATE(H2," ",C2,"-",F2,"-",B2,"-",P2,"-",D2)</f>
        <v>Airticket MR. M A SIKANDAR-CQ00873075-AUG-26-06-05-2026-Kannur-New Delhi</v>
      </c>
      <c r="O2" s="16" t="s">
        <v>1403</v>
      </c>
      <c r="P2" s="17" t="s">
        <v>1404</v>
      </c>
      <c r="Q2" s="16" t="str">
        <f>E2</f>
        <v>62-MUM-SSS</v>
      </c>
      <c r="R2" s="16" t="str">
        <f>RIGHT(Q2,3)</f>
        <v>SSS</v>
      </c>
      <c r="S2" s="18" t="s">
        <v>1400</v>
      </c>
    </row>
    <row r="3" spans="1:19" x14ac:dyDescent="0.3">
      <c r="A3" s="12" t="s">
        <v>1399</v>
      </c>
      <c r="B3" s="13" t="s">
        <v>1400</v>
      </c>
      <c r="C3" s="5" t="s">
        <v>159</v>
      </c>
      <c r="D3" s="5" t="s">
        <v>136</v>
      </c>
      <c r="E3" s="5" t="s">
        <v>213</v>
      </c>
      <c r="F3" s="5" t="s">
        <v>160</v>
      </c>
      <c r="G3" s="14" t="s">
        <v>1401</v>
      </c>
      <c r="H3" s="14" t="s">
        <v>1402</v>
      </c>
      <c r="I3" s="5">
        <v>19450</v>
      </c>
      <c r="J3" s="5" t="s">
        <v>158</v>
      </c>
      <c r="K3" s="5" t="s">
        <v>92</v>
      </c>
      <c r="L3" s="16">
        <v>80003</v>
      </c>
      <c r="M3" s="16" t="str">
        <f>CONCATENATE(L3,"-",E3)</f>
        <v>80003-62-MUM-SSS</v>
      </c>
      <c r="N3" s="16" t="str">
        <f>CONCATENATE(H3," ",C3,"-",F3,"-",B3,"-",P3,"-",D3)</f>
        <v>Airticket MR. ABDUL FAROOQI-CQ00873076-AUG-26-06-05-2026-Kannur-New Delhi</v>
      </c>
      <c r="O3" s="16" t="s">
        <v>1403</v>
      </c>
      <c r="P3" s="17" t="s">
        <v>1404</v>
      </c>
      <c r="Q3" s="16" t="str">
        <f>E3</f>
        <v>62-MUM-SSS</v>
      </c>
      <c r="R3" s="16" t="str">
        <f>RIGHT(Q3,3)</f>
        <v>SSS</v>
      </c>
      <c r="S3" s="18" t="s">
        <v>1400</v>
      </c>
    </row>
    <row r="4" spans="1:19" x14ac:dyDescent="0.3">
      <c r="A4" s="12" t="s">
        <v>1399</v>
      </c>
      <c r="B4" s="13" t="s">
        <v>1400</v>
      </c>
      <c r="C4" s="5" t="s">
        <v>159</v>
      </c>
      <c r="D4" s="5" t="s">
        <v>169</v>
      </c>
      <c r="E4" s="5" t="s">
        <v>213</v>
      </c>
      <c r="F4" s="5" t="s">
        <v>160</v>
      </c>
      <c r="G4" s="14" t="s">
        <v>1401</v>
      </c>
      <c r="H4" s="14" t="s">
        <v>1402</v>
      </c>
      <c r="I4" s="5">
        <v>10672</v>
      </c>
      <c r="J4" s="5" t="s">
        <v>167</v>
      </c>
      <c r="K4" s="5" t="s">
        <v>92</v>
      </c>
      <c r="L4" s="16">
        <v>80003</v>
      </c>
      <c r="M4" s="16" t="str">
        <f t="shared" ref="M4:M50" si="0">CONCATENATE(L4,"-",E4)</f>
        <v>80003-62-MUM-SSS</v>
      </c>
      <c r="N4" s="16" t="str">
        <f t="shared" ref="N4:N50" si="1">CONCATENATE(H4," ",C4,"-",F4,"-",B4,"-",P4,"-",D4)</f>
        <v>Airticket MR. ABDUL FAROOQI-CQ00873076-AUG-26-06-05-2026-New Delhi-Mumbai/Mumbai-Kannur</v>
      </c>
      <c r="O4" s="16" t="s">
        <v>1403</v>
      </c>
      <c r="P4" s="17" t="s">
        <v>1404</v>
      </c>
      <c r="Q4" s="16" t="str">
        <f t="shared" ref="Q4:Q50" si="2">E4</f>
        <v>62-MUM-SSS</v>
      </c>
      <c r="R4" s="16" t="str">
        <f t="shared" ref="R4:R65" si="3">RIGHT(Q4,3)</f>
        <v>SSS</v>
      </c>
      <c r="S4" s="18" t="s">
        <v>1400</v>
      </c>
    </row>
    <row r="5" spans="1:19" x14ac:dyDescent="0.3">
      <c r="A5" s="12" t="s">
        <v>1399</v>
      </c>
      <c r="B5" s="13" t="s">
        <v>1400</v>
      </c>
      <c r="C5" s="5" t="s">
        <v>132</v>
      </c>
      <c r="D5" s="5" t="s">
        <v>169</v>
      </c>
      <c r="E5" s="5" t="s">
        <v>213</v>
      </c>
      <c r="F5" s="5" t="s">
        <v>133</v>
      </c>
      <c r="G5" s="14" t="s">
        <v>1401</v>
      </c>
      <c r="H5" s="14" t="s">
        <v>1402</v>
      </c>
      <c r="I5" s="5">
        <v>10672</v>
      </c>
      <c r="J5" s="5" t="s">
        <v>181</v>
      </c>
      <c r="K5" s="5" t="s">
        <v>92</v>
      </c>
      <c r="L5" s="16">
        <v>80003</v>
      </c>
      <c r="M5" s="16" t="str">
        <f t="shared" si="0"/>
        <v>80003-62-MUM-SSS</v>
      </c>
      <c r="N5" s="16" t="str">
        <f t="shared" si="1"/>
        <v>Airticket MR. M A SIKANDAR-CQ00873075-AUG-26-06-05-2026-New Delhi-Mumbai/Mumbai-Kannur</v>
      </c>
      <c r="O5" s="16" t="s">
        <v>1403</v>
      </c>
      <c r="P5" s="17" t="s">
        <v>1404</v>
      </c>
      <c r="Q5" s="16" t="str">
        <f t="shared" si="2"/>
        <v>62-MUM-SSS</v>
      </c>
      <c r="R5" s="16" t="str">
        <f t="shared" si="3"/>
        <v>SSS</v>
      </c>
      <c r="S5" s="18" t="s">
        <v>1400</v>
      </c>
    </row>
    <row r="6" spans="1:19" x14ac:dyDescent="0.3">
      <c r="A6" s="12" t="s">
        <v>1399</v>
      </c>
      <c r="B6" s="13" t="s">
        <v>1400</v>
      </c>
      <c r="C6" s="5" t="s">
        <v>211</v>
      </c>
      <c r="D6" s="5" t="s">
        <v>169</v>
      </c>
      <c r="E6" s="5" t="s">
        <v>213</v>
      </c>
      <c r="F6" s="5" t="s">
        <v>212</v>
      </c>
      <c r="G6" s="14" t="s">
        <v>1401</v>
      </c>
      <c r="H6" s="14" t="s">
        <v>1402</v>
      </c>
      <c r="I6" s="5">
        <v>11853</v>
      </c>
      <c r="J6" s="5" t="s">
        <v>209</v>
      </c>
      <c r="K6" s="5" t="s">
        <v>92</v>
      </c>
      <c r="L6" s="16">
        <v>80003</v>
      </c>
      <c r="M6" s="16" t="str">
        <f t="shared" si="0"/>
        <v>80003-62-MUM-SSS</v>
      </c>
      <c r="N6" s="16" t="str">
        <f t="shared" si="1"/>
        <v>Airticket MR. CHETAN DIXIT-SG0506-AUG-26-06-05-2026-New Delhi-Mumbai/Mumbai-Kannur</v>
      </c>
      <c r="O6" s="16" t="s">
        <v>1403</v>
      </c>
      <c r="P6" s="17" t="s">
        <v>1404</v>
      </c>
      <c r="Q6" s="16" t="str">
        <f t="shared" si="2"/>
        <v>62-MUM-SSS</v>
      </c>
      <c r="R6" s="16" t="str">
        <f t="shared" si="3"/>
        <v>SSS</v>
      </c>
      <c r="S6" s="18" t="s">
        <v>1400</v>
      </c>
    </row>
    <row r="7" spans="1:19" x14ac:dyDescent="0.3">
      <c r="A7" s="12" t="s">
        <v>1399</v>
      </c>
      <c r="B7" s="13" t="s">
        <v>1400</v>
      </c>
      <c r="C7" s="5" t="s">
        <v>211</v>
      </c>
      <c r="D7" s="5" t="s">
        <v>136</v>
      </c>
      <c r="E7" s="5" t="s">
        <v>213</v>
      </c>
      <c r="F7" s="5" t="s">
        <v>212</v>
      </c>
      <c r="G7" s="14" t="s">
        <v>1401</v>
      </c>
      <c r="H7" s="14" t="s">
        <v>1402</v>
      </c>
      <c r="I7" s="5">
        <v>19804</v>
      </c>
      <c r="J7" s="5" t="s">
        <v>225</v>
      </c>
      <c r="K7" s="5" t="s">
        <v>92</v>
      </c>
      <c r="L7" s="16">
        <v>80003</v>
      </c>
      <c r="M7" s="16" t="str">
        <f t="shared" si="0"/>
        <v>80003-62-MUM-SSS</v>
      </c>
      <c r="N7" s="16" t="str">
        <f t="shared" si="1"/>
        <v>Airticket MR. CHETAN DIXIT-SG0506-AUG-26-06-05-2026-Kannur-New Delhi</v>
      </c>
      <c r="O7" s="16" t="s">
        <v>1403</v>
      </c>
      <c r="P7" s="17" t="s">
        <v>1404</v>
      </c>
      <c r="Q7" s="16" t="str">
        <f t="shared" si="2"/>
        <v>62-MUM-SSS</v>
      </c>
      <c r="R7" s="16" t="str">
        <f t="shared" si="3"/>
        <v>SSS</v>
      </c>
      <c r="S7" s="18" t="s">
        <v>1400</v>
      </c>
    </row>
    <row r="8" spans="1:19" x14ac:dyDescent="0.3">
      <c r="A8" s="12" t="s">
        <v>1399</v>
      </c>
      <c r="B8" s="13" t="s">
        <v>1400</v>
      </c>
      <c r="C8" s="5" t="s">
        <v>230</v>
      </c>
      <c r="D8" s="5" t="s">
        <v>169</v>
      </c>
      <c r="E8" s="5" t="s">
        <v>213</v>
      </c>
      <c r="F8" s="5" t="s">
        <v>160</v>
      </c>
      <c r="G8" s="14" t="s">
        <v>1401</v>
      </c>
      <c r="H8" s="14" t="s">
        <v>1402</v>
      </c>
      <c r="I8" s="5">
        <v>11540</v>
      </c>
      <c r="J8" s="5" t="s">
        <v>229</v>
      </c>
      <c r="K8" s="5" t="s">
        <v>92</v>
      </c>
      <c r="L8" s="16">
        <v>80003</v>
      </c>
      <c r="M8" s="16" t="str">
        <f t="shared" si="0"/>
        <v>80003-62-MUM-SSS</v>
      </c>
      <c r="N8" s="16" t="str">
        <f t="shared" si="1"/>
        <v>Airticket MR. ABDUL MAJID FAROOQI-CQ00873076-AUG-26-06-05-2026-New Delhi-Mumbai/Mumbai-Kannur</v>
      </c>
      <c r="O8" s="16" t="s">
        <v>1403</v>
      </c>
      <c r="P8" s="17" t="s">
        <v>1404</v>
      </c>
      <c r="Q8" s="16" t="str">
        <f t="shared" si="2"/>
        <v>62-MUM-SSS</v>
      </c>
      <c r="R8" s="16" t="str">
        <f t="shared" si="3"/>
        <v>SSS</v>
      </c>
      <c r="S8" s="18" t="s">
        <v>1400</v>
      </c>
    </row>
    <row r="9" spans="1:19" x14ac:dyDescent="0.3">
      <c r="A9" s="12" t="s">
        <v>1399</v>
      </c>
      <c r="B9" s="13" t="s">
        <v>1400</v>
      </c>
      <c r="C9" s="5" t="s">
        <v>230</v>
      </c>
      <c r="D9" s="5" t="s">
        <v>136</v>
      </c>
      <c r="E9" s="5" t="s">
        <v>213</v>
      </c>
      <c r="F9" s="5" t="s">
        <v>160</v>
      </c>
      <c r="G9" s="14" t="s">
        <v>1401</v>
      </c>
      <c r="H9" s="14" t="s">
        <v>1402</v>
      </c>
      <c r="I9" s="5">
        <v>19450</v>
      </c>
      <c r="J9" s="5" t="s">
        <v>235</v>
      </c>
      <c r="K9" s="5" t="s">
        <v>92</v>
      </c>
      <c r="L9" s="16">
        <v>80003</v>
      </c>
      <c r="M9" s="16" t="str">
        <f t="shared" si="0"/>
        <v>80003-62-MUM-SSS</v>
      </c>
      <c r="N9" s="16" t="str">
        <f t="shared" si="1"/>
        <v>Airticket MR. ABDUL MAJID FAROOQI-CQ00873076-AUG-26-06-05-2026-Kannur-New Delhi</v>
      </c>
      <c r="O9" s="16" t="s">
        <v>1403</v>
      </c>
      <c r="P9" s="17" t="s">
        <v>1404</v>
      </c>
      <c r="Q9" s="16" t="str">
        <f t="shared" si="2"/>
        <v>62-MUM-SSS</v>
      </c>
      <c r="R9" s="16" t="str">
        <f t="shared" si="3"/>
        <v>SSS</v>
      </c>
      <c r="S9" s="18" t="s">
        <v>1400</v>
      </c>
    </row>
    <row r="10" spans="1:19" x14ac:dyDescent="0.3">
      <c r="A10" s="12" t="s">
        <v>1399</v>
      </c>
      <c r="B10" s="13" t="s">
        <v>1400</v>
      </c>
      <c r="C10" s="5" t="s">
        <v>269</v>
      </c>
      <c r="D10" s="5" t="s">
        <v>273</v>
      </c>
      <c r="E10" s="5" t="s">
        <v>271</v>
      </c>
      <c r="F10" s="5" t="s">
        <v>270</v>
      </c>
      <c r="G10" s="14" t="s">
        <v>1401</v>
      </c>
      <c r="H10" s="14" t="s">
        <v>1402</v>
      </c>
      <c r="I10" s="5">
        <v>8756</v>
      </c>
      <c r="J10" s="5" t="s">
        <v>267</v>
      </c>
      <c r="K10" s="5" t="s">
        <v>114</v>
      </c>
      <c r="L10" s="16">
        <v>80003</v>
      </c>
      <c r="M10" s="16" t="str">
        <f t="shared" si="0"/>
        <v>80003-68-MUM-LED</v>
      </c>
      <c r="N10" s="16" t="str">
        <f t="shared" si="1"/>
        <v>Airticket MR. SHANTANU ROOJ-SG0014-AUG-26-06-05-2026-Mumbai-Kolkata</v>
      </c>
      <c r="O10" s="16" t="s">
        <v>1403</v>
      </c>
      <c r="P10" s="17" t="s">
        <v>1404</v>
      </c>
      <c r="Q10" s="16" t="str">
        <f t="shared" si="2"/>
        <v>68-MUM-LED</v>
      </c>
      <c r="R10" s="16" t="str">
        <f t="shared" si="3"/>
        <v>LED</v>
      </c>
      <c r="S10" s="18" t="s">
        <v>1400</v>
      </c>
    </row>
    <row r="11" spans="1:19" x14ac:dyDescent="0.3">
      <c r="A11" s="12" t="s">
        <v>1399</v>
      </c>
      <c r="B11" s="13" t="s">
        <v>1400</v>
      </c>
      <c r="C11" s="5" t="s">
        <v>269</v>
      </c>
      <c r="D11" s="5" t="s">
        <v>286</v>
      </c>
      <c r="E11" s="5" t="s">
        <v>271</v>
      </c>
      <c r="F11" s="5" t="s">
        <v>270</v>
      </c>
      <c r="G11" s="14" t="s">
        <v>1401</v>
      </c>
      <c r="H11" s="14" t="s">
        <v>1402</v>
      </c>
      <c r="I11" s="5">
        <v>9283</v>
      </c>
      <c r="J11" s="5" t="s">
        <v>284</v>
      </c>
      <c r="K11" s="5" t="s">
        <v>114</v>
      </c>
      <c r="L11" s="16">
        <v>80003</v>
      </c>
      <c r="M11" s="16" t="str">
        <f t="shared" si="0"/>
        <v>80003-68-MUM-LED</v>
      </c>
      <c r="N11" s="16" t="str">
        <f t="shared" si="1"/>
        <v>Airticket MR. SHANTANU ROOJ-SG0014-AUG-26-06-05-2026-Kolkata-Mumbai</v>
      </c>
      <c r="O11" s="16" t="s">
        <v>1403</v>
      </c>
      <c r="P11" s="17" t="s">
        <v>1404</v>
      </c>
      <c r="Q11" s="16" t="str">
        <f t="shared" si="2"/>
        <v>68-MUM-LED</v>
      </c>
      <c r="R11" s="16" t="str">
        <f t="shared" si="3"/>
        <v>LED</v>
      </c>
      <c r="S11" s="18" t="s">
        <v>1400</v>
      </c>
    </row>
    <row r="12" spans="1:19" x14ac:dyDescent="0.3">
      <c r="A12" s="12" t="s">
        <v>1399</v>
      </c>
      <c r="B12" s="13" t="s">
        <v>1400</v>
      </c>
      <c r="C12" s="5" t="s">
        <v>311</v>
      </c>
      <c r="D12" s="5" t="s">
        <v>113</v>
      </c>
      <c r="E12" s="5" t="s">
        <v>313</v>
      </c>
      <c r="F12" s="5" t="s">
        <v>312</v>
      </c>
      <c r="G12" s="14" t="s">
        <v>1401</v>
      </c>
      <c r="H12" s="14" t="s">
        <v>1402</v>
      </c>
      <c r="I12" s="5">
        <v>9076</v>
      </c>
      <c r="J12" s="5" t="s">
        <v>310</v>
      </c>
      <c r="K12" s="5" t="s">
        <v>114</v>
      </c>
      <c r="L12" s="16">
        <v>80003</v>
      </c>
      <c r="M12" s="16" t="str">
        <f t="shared" si="0"/>
        <v>80003-67-MUM-ELO</v>
      </c>
      <c r="N12" s="16" t="str">
        <f t="shared" si="1"/>
        <v>Airticket MR. ROSHAN DEEPAK PINTO-T11294-AUG-26-06-05-2026-New Delhi-Bangalore</v>
      </c>
      <c r="O12" s="16" t="s">
        <v>1403</v>
      </c>
      <c r="P12" s="17" t="s">
        <v>1404</v>
      </c>
      <c r="Q12" s="16" t="str">
        <f t="shared" si="2"/>
        <v>67-MUM-ELO</v>
      </c>
      <c r="R12" s="16" t="str">
        <f t="shared" si="3"/>
        <v>ELO</v>
      </c>
      <c r="S12" s="18" t="s">
        <v>1400</v>
      </c>
    </row>
    <row r="13" spans="1:19" x14ac:dyDescent="0.3">
      <c r="A13" s="12" t="s">
        <v>1399</v>
      </c>
      <c r="B13" s="13" t="s">
        <v>1400</v>
      </c>
      <c r="C13" s="5" t="s">
        <v>311</v>
      </c>
      <c r="D13" s="5" t="s">
        <v>119</v>
      </c>
      <c r="E13" s="5" t="s">
        <v>313</v>
      </c>
      <c r="F13" s="5" t="s">
        <v>312</v>
      </c>
      <c r="G13" s="14" t="s">
        <v>1401</v>
      </c>
      <c r="H13" s="14" t="s">
        <v>1402</v>
      </c>
      <c r="I13" s="5">
        <v>9505</v>
      </c>
      <c r="J13" s="5" t="s">
        <v>325</v>
      </c>
      <c r="K13" s="5" t="s">
        <v>114</v>
      </c>
      <c r="L13" s="16">
        <v>80003</v>
      </c>
      <c r="M13" s="16" t="str">
        <f t="shared" si="0"/>
        <v>80003-67-MUM-ELO</v>
      </c>
      <c r="N13" s="16" t="str">
        <f t="shared" si="1"/>
        <v>Airticket MR. ROSHAN DEEPAK PINTO-T11294-AUG-26-06-05-2026-Bangalore-New Delhi</v>
      </c>
      <c r="O13" s="16" t="s">
        <v>1403</v>
      </c>
      <c r="P13" s="17" t="s">
        <v>1404</v>
      </c>
      <c r="Q13" s="16" t="str">
        <f t="shared" si="2"/>
        <v>67-MUM-ELO</v>
      </c>
      <c r="R13" s="16" t="str">
        <f t="shared" si="3"/>
        <v>ELO</v>
      </c>
      <c r="S13" s="18" t="s">
        <v>1400</v>
      </c>
    </row>
    <row r="14" spans="1:19" x14ac:dyDescent="0.3">
      <c r="A14" s="12" t="s">
        <v>1399</v>
      </c>
      <c r="B14" s="13" t="s">
        <v>1400</v>
      </c>
      <c r="C14" s="5" t="s">
        <v>337</v>
      </c>
      <c r="D14" s="5" t="s">
        <v>332</v>
      </c>
      <c r="E14" s="5" t="s">
        <v>339</v>
      </c>
      <c r="F14" s="5" t="s">
        <v>338</v>
      </c>
      <c r="G14" s="14" t="s">
        <v>1401</v>
      </c>
      <c r="H14" s="14" t="s">
        <v>1402</v>
      </c>
      <c r="I14" s="5">
        <v>8318</v>
      </c>
      <c r="J14" s="5" t="s">
        <v>335</v>
      </c>
      <c r="K14" s="5" t="s">
        <v>293</v>
      </c>
      <c r="L14" s="16">
        <v>80003</v>
      </c>
      <c r="M14" s="16" t="str">
        <f t="shared" si="0"/>
        <v>80003-61-MUM-USE</v>
      </c>
      <c r="N14" s="16" t="str">
        <f t="shared" si="1"/>
        <v>Airticket MR. ASHUTOSH DUBEY-T17010-AUG-26-06-05-2026-New Delhi-Guwahati</v>
      </c>
      <c r="O14" s="16" t="s">
        <v>1403</v>
      </c>
      <c r="P14" s="17" t="s">
        <v>1404</v>
      </c>
      <c r="Q14" s="16" t="str">
        <f t="shared" si="2"/>
        <v>61-MUM-USE</v>
      </c>
      <c r="R14" s="16" t="str">
        <f t="shared" si="3"/>
        <v>USE</v>
      </c>
      <c r="S14" s="18" t="s">
        <v>1400</v>
      </c>
    </row>
    <row r="15" spans="1:19" x14ac:dyDescent="0.3">
      <c r="A15" s="12" t="s">
        <v>1399</v>
      </c>
      <c r="B15" s="13" t="s">
        <v>1400</v>
      </c>
      <c r="C15" s="5" t="s">
        <v>356</v>
      </c>
      <c r="D15" s="5" t="s">
        <v>199</v>
      </c>
      <c r="E15" s="5" t="s">
        <v>358</v>
      </c>
      <c r="F15" s="5" t="s">
        <v>357</v>
      </c>
      <c r="G15" s="14" t="s">
        <v>1401</v>
      </c>
      <c r="H15" s="14" t="s">
        <v>1402</v>
      </c>
      <c r="I15" s="5">
        <v>14752</v>
      </c>
      <c r="J15" s="5" t="s">
        <v>355</v>
      </c>
      <c r="K15" s="5" t="s">
        <v>293</v>
      </c>
      <c r="L15" s="16">
        <v>80003</v>
      </c>
      <c r="M15" s="16" t="str">
        <f t="shared" si="0"/>
        <v>80003-69-MUM-PBP</v>
      </c>
      <c r="N15" s="16" t="str">
        <f t="shared" si="1"/>
        <v>Airticket MR. AAYUSH LAL-T16161-AUG-26-06-05-2026-Chennai-New Delhi</v>
      </c>
      <c r="O15" s="16" t="s">
        <v>1403</v>
      </c>
      <c r="P15" s="17" t="s">
        <v>1404</v>
      </c>
      <c r="Q15" s="16" t="str">
        <f t="shared" si="2"/>
        <v>69-MUM-PBP</v>
      </c>
      <c r="R15" s="16" t="str">
        <f t="shared" si="3"/>
        <v>PBP</v>
      </c>
      <c r="S15" s="18" t="s">
        <v>1400</v>
      </c>
    </row>
    <row r="16" spans="1:19" x14ac:dyDescent="0.3">
      <c r="A16" s="12" t="s">
        <v>1399</v>
      </c>
      <c r="B16" s="13" t="s">
        <v>1400</v>
      </c>
      <c r="C16" s="5" t="s">
        <v>356</v>
      </c>
      <c r="D16" s="5" t="s">
        <v>205</v>
      </c>
      <c r="E16" s="5" t="s">
        <v>358</v>
      </c>
      <c r="F16" s="5" t="s">
        <v>357</v>
      </c>
      <c r="G16" s="14" t="s">
        <v>1401</v>
      </c>
      <c r="H16" s="14" t="s">
        <v>1402</v>
      </c>
      <c r="I16" s="5">
        <v>8526</v>
      </c>
      <c r="J16" s="5" t="s">
        <v>373</v>
      </c>
      <c r="K16" s="5" t="s">
        <v>293</v>
      </c>
      <c r="L16" s="16">
        <v>80003</v>
      </c>
      <c r="M16" s="16" t="str">
        <f t="shared" si="0"/>
        <v>80003-69-MUM-PBP</v>
      </c>
      <c r="N16" s="16" t="str">
        <f t="shared" si="1"/>
        <v>Airticket MR. AAYUSH LAL-T16161-AUG-26-06-05-2026-New Delhi-Chennai</v>
      </c>
      <c r="O16" s="16" t="s">
        <v>1403</v>
      </c>
      <c r="P16" s="17" t="s">
        <v>1404</v>
      </c>
      <c r="Q16" s="16" t="str">
        <f t="shared" si="2"/>
        <v>69-MUM-PBP</v>
      </c>
      <c r="R16" s="16" t="str">
        <f t="shared" si="3"/>
        <v>PBP</v>
      </c>
      <c r="S16" s="18" t="s">
        <v>1400</v>
      </c>
    </row>
    <row r="17" spans="1:19" x14ac:dyDescent="0.3">
      <c r="A17" s="12" t="s">
        <v>1399</v>
      </c>
      <c r="B17" s="13" t="s">
        <v>1400</v>
      </c>
      <c r="C17" s="5" t="s">
        <v>356</v>
      </c>
      <c r="D17" s="5" t="s">
        <v>387</v>
      </c>
      <c r="E17" s="5" t="s">
        <v>358</v>
      </c>
      <c r="F17" s="5" t="s">
        <v>357</v>
      </c>
      <c r="G17" s="14" t="s">
        <v>1401</v>
      </c>
      <c r="H17" s="14" t="s">
        <v>1402</v>
      </c>
      <c r="I17" s="5">
        <v>6786</v>
      </c>
      <c r="J17" s="5" t="s">
        <v>385</v>
      </c>
      <c r="K17" s="5" t="s">
        <v>293</v>
      </c>
      <c r="L17" s="16">
        <v>80003</v>
      </c>
      <c r="M17" s="16" t="str">
        <f t="shared" si="0"/>
        <v>80003-69-MUM-PBP</v>
      </c>
      <c r="N17" s="16" t="str">
        <f t="shared" si="1"/>
        <v>Airticket MR. AAYUSH LAL-T16161-AUG-26-06-05-2026-New Delhi-Gaya</v>
      </c>
      <c r="O17" s="16" t="s">
        <v>1403</v>
      </c>
      <c r="P17" s="17" t="s">
        <v>1404</v>
      </c>
      <c r="Q17" s="16" t="str">
        <f t="shared" si="2"/>
        <v>69-MUM-PBP</v>
      </c>
      <c r="R17" s="16" t="str">
        <f t="shared" si="3"/>
        <v>PBP</v>
      </c>
      <c r="S17" s="18" t="s">
        <v>1400</v>
      </c>
    </row>
    <row r="18" spans="1:19" x14ac:dyDescent="0.3">
      <c r="A18" s="12" t="s">
        <v>1399</v>
      </c>
      <c r="B18" s="13" t="s">
        <v>1400</v>
      </c>
      <c r="C18" s="5" t="s">
        <v>356</v>
      </c>
      <c r="D18" s="5" t="s">
        <v>191</v>
      </c>
      <c r="E18" s="5" t="s">
        <v>358</v>
      </c>
      <c r="F18" s="5" t="s">
        <v>357</v>
      </c>
      <c r="G18" s="14" t="s">
        <v>1401</v>
      </c>
      <c r="H18" s="14" t="s">
        <v>1402</v>
      </c>
      <c r="I18" s="5">
        <v>7743</v>
      </c>
      <c r="J18" s="5" t="s">
        <v>396</v>
      </c>
      <c r="K18" s="5" t="s">
        <v>293</v>
      </c>
      <c r="L18" s="16">
        <v>80003</v>
      </c>
      <c r="M18" s="16" t="str">
        <f t="shared" si="0"/>
        <v>80003-69-MUM-PBP</v>
      </c>
      <c r="N18" s="16" t="str">
        <f t="shared" si="1"/>
        <v>Airticket MR. AAYUSH LAL-T16161-AUG-26-06-05-2026-Ranchi-New Delhi</v>
      </c>
      <c r="O18" s="16" t="s">
        <v>1403</v>
      </c>
      <c r="P18" s="17" t="s">
        <v>1404</v>
      </c>
      <c r="Q18" s="16" t="str">
        <f t="shared" si="2"/>
        <v>69-MUM-PBP</v>
      </c>
      <c r="R18" s="16" t="str">
        <f t="shared" si="3"/>
        <v>PBP</v>
      </c>
      <c r="S18" s="18" t="s">
        <v>1400</v>
      </c>
    </row>
    <row r="19" spans="1:19" x14ac:dyDescent="0.3">
      <c r="A19" s="12" t="s">
        <v>1399</v>
      </c>
      <c r="B19" s="13" t="s">
        <v>1400</v>
      </c>
      <c r="C19" s="5" t="s">
        <v>356</v>
      </c>
      <c r="D19" s="5" t="s">
        <v>205</v>
      </c>
      <c r="E19" s="5" t="s">
        <v>358</v>
      </c>
      <c r="F19" s="5" t="s">
        <v>357</v>
      </c>
      <c r="G19" s="14" t="s">
        <v>1401</v>
      </c>
      <c r="H19" s="14" t="s">
        <v>1402</v>
      </c>
      <c r="I19" s="5">
        <v>10099</v>
      </c>
      <c r="J19" s="5" t="s">
        <v>407</v>
      </c>
      <c r="K19" s="5" t="s">
        <v>404</v>
      </c>
      <c r="L19" s="16">
        <v>80003</v>
      </c>
      <c r="M19" s="16" t="str">
        <f t="shared" si="0"/>
        <v>80003-69-MUM-PBP</v>
      </c>
      <c r="N19" s="16" t="str">
        <f t="shared" si="1"/>
        <v>Airticket MR. AAYUSH LAL-T16161-AUG-26-06-05-2026-New Delhi-Chennai</v>
      </c>
      <c r="O19" s="16" t="s">
        <v>1403</v>
      </c>
      <c r="P19" s="17" t="s">
        <v>1404</v>
      </c>
      <c r="Q19" s="16" t="str">
        <f t="shared" si="2"/>
        <v>69-MUM-PBP</v>
      </c>
      <c r="R19" s="16" t="str">
        <f t="shared" si="3"/>
        <v>PBP</v>
      </c>
      <c r="S19" s="18" t="s">
        <v>1400</v>
      </c>
    </row>
    <row r="20" spans="1:19" x14ac:dyDescent="0.3">
      <c r="A20" s="12" t="s">
        <v>1399</v>
      </c>
      <c r="B20" s="13" t="s">
        <v>1400</v>
      </c>
      <c r="C20" s="5" t="s">
        <v>215</v>
      </c>
      <c r="D20" s="5" t="s">
        <v>286</v>
      </c>
      <c r="E20" s="5" t="s">
        <v>213</v>
      </c>
      <c r="F20" s="5" t="s">
        <v>224</v>
      </c>
      <c r="G20" s="14" t="s">
        <v>1401</v>
      </c>
      <c r="H20" s="14" t="s">
        <v>1402</v>
      </c>
      <c r="I20" s="5">
        <v>9199</v>
      </c>
      <c r="J20" s="5" t="s">
        <v>416</v>
      </c>
      <c r="K20" s="5" t="s">
        <v>404</v>
      </c>
      <c r="L20" s="16">
        <v>80003</v>
      </c>
      <c r="M20" s="16" t="str">
        <f t="shared" si="0"/>
        <v>80003-62-MUM-SSS</v>
      </c>
      <c r="N20" s="16" t="str">
        <f t="shared" si="1"/>
        <v>Airticket MR. UDITENDU BOSE-SG0320-AUG-26-06-05-2026-Kolkata-Mumbai</v>
      </c>
      <c r="O20" s="16" t="s">
        <v>1403</v>
      </c>
      <c r="P20" s="17" t="s">
        <v>1404</v>
      </c>
      <c r="Q20" s="16" t="str">
        <f t="shared" si="2"/>
        <v>62-MUM-SSS</v>
      </c>
      <c r="R20" s="16" t="str">
        <f t="shared" si="3"/>
        <v>SSS</v>
      </c>
      <c r="S20" s="18" t="s">
        <v>1400</v>
      </c>
    </row>
    <row r="21" spans="1:19" x14ac:dyDescent="0.3">
      <c r="A21" s="12" t="s">
        <v>1399</v>
      </c>
      <c r="B21" s="13" t="s">
        <v>1400</v>
      </c>
      <c r="C21" s="5" t="s">
        <v>215</v>
      </c>
      <c r="D21" s="5" t="s">
        <v>273</v>
      </c>
      <c r="E21" s="5" t="s">
        <v>213</v>
      </c>
      <c r="F21" s="5" t="s">
        <v>224</v>
      </c>
      <c r="G21" s="14" t="s">
        <v>1401</v>
      </c>
      <c r="H21" s="14" t="s">
        <v>1402</v>
      </c>
      <c r="I21" s="5">
        <v>8671</v>
      </c>
      <c r="J21" s="5" t="s">
        <v>429</v>
      </c>
      <c r="K21" s="5" t="s">
        <v>404</v>
      </c>
      <c r="L21" s="16">
        <v>80003</v>
      </c>
      <c r="M21" s="16" t="str">
        <f t="shared" si="0"/>
        <v>80003-62-MUM-SSS</v>
      </c>
      <c r="N21" s="16" t="str">
        <f t="shared" si="1"/>
        <v>Airticket MR. UDITENDU BOSE-SG0320-AUG-26-06-05-2026-Mumbai-Kolkata</v>
      </c>
      <c r="O21" s="16" t="s">
        <v>1403</v>
      </c>
      <c r="P21" s="17" t="s">
        <v>1404</v>
      </c>
      <c r="Q21" s="16" t="str">
        <f t="shared" si="2"/>
        <v>62-MUM-SSS</v>
      </c>
      <c r="R21" s="16" t="str">
        <f t="shared" si="3"/>
        <v>SSS</v>
      </c>
      <c r="S21" s="18" t="s">
        <v>1400</v>
      </c>
    </row>
    <row r="22" spans="1:19" x14ac:dyDescent="0.3">
      <c r="A22" s="12" t="s">
        <v>1399</v>
      </c>
      <c r="B22" s="13" t="s">
        <v>1400</v>
      </c>
      <c r="C22" s="5" t="s">
        <v>215</v>
      </c>
      <c r="D22" s="5" t="s">
        <v>286</v>
      </c>
      <c r="E22" s="5" t="s">
        <v>213</v>
      </c>
      <c r="F22" s="5" t="s">
        <v>224</v>
      </c>
      <c r="G22" s="14" t="s">
        <v>1401</v>
      </c>
      <c r="H22" s="14" t="s">
        <v>1402</v>
      </c>
      <c r="I22" s="5">
        <v>9609</v>
      </c>
      <c r="J22" s="5" t="s">
        <v>440</v>
      </c>
      <c r="K22" s="5" t="s">
        <v>404</v>
      </c>
      <c r="L22" s="16">
        <v>80003</v>
      </c>
      <c r="M22" s="16" t="str">
        <f t="shared" si="0"/>
        <v>80003-62-MUM-SSS</v>
      </c>
      <c r="N22" s="16" t="str">
        <f t="shared" si="1"/>
        <v>Airticket MR. UDITENDU BOSE-SG0320-AUG-26-06-05-2026-Kolkata-Mumbai</v>
      </c>
      <c r="O22" s="16" t="s">
        <v>1403</v>
      </c>
      <c r="P22" s="17" t="s">
        <v>1404</v>
      </c>
      <c r="Q22" s="16" t="str">
        <f t="shared" si="2"/>
        <v>62-MUM-SSS</v>
      </c>
      <c r="R22" s="16" t="str">
        <f t="shared" si="3"/>
        <v>SSS</v>
      </c>
      <c r="S22" s="18" t="s">
        <v>1400</v>
      </c>
    </row>
    <row r="23" spans="1:19" x14ac:dyDescent="0.3">
      <c r="A23" s="12" t="s">
        <v>1399</v>
      </c>
      <c r="B23" s="13" t="s">
        <v>1400</v>
      </c>
      <c r="C23" s="5" t="s">
        <v>269</v>
      </c>
      <c r="D23" s="5" t="s">
        <v>295</v>
      </c>
      <c r="E23" s="5" t="s">
        <v>271</v>
      </c>
      <c r="F23" s="5" t="s">
        <v>270</v>
      </c>
      <c r="G23" s="14" t="s">
        <v>1401</v>
      </c>
      <c r="H23" s="14" t="s">
        <v>1402</v>
      </c>
      <c r="I23" s="5">
        <v>8423</v>
      </c>
      <c r="J23" s="5" t="s">
        <v>450</v>
      </c>
      <c r="K23" s="5" t="s">
        <v>404</v>
      </c>
      <c r="L23" s="16">
        <v>80003</v>
      </c>
      <c r="M23" s="16" t="str">
        <f t="shared" si="0"/>
        <v>80003-68-MUM-LED</v>
      </c>
      <c r="N23" s="16" t="str">
        <f t="shared" si="1"/>
        <v>Airticket MR. SHANTANU ROOJ-SG0014-AUG-26-06-05-2026-New Delhi-Mumbai</v>
      </c>
      <c r="O23" s="16" t="s">
        <v>1403</v>
      </c>
      <c r="P23" s="17" t="s">
        <v>1404</v>
      </c>
      <c r="Q23" s="16" t="str">
        <f t="shared" si="2"/>
        <v>68-MUM-LED</v>
      </c>
      <c r="R23" s="16" t="str">
        <f t="shared" si="3"/>
        <v>LED</v>
      </c>
      <c r="S23" s="18" t="s">
        <v>1400</v>
      </c>
    </row>
    <row r="24" spans="1:19" x14ac:dyDescent="0.3">
      <c r="A24" s="12" t="s">
        <v>1399</v>
      </c>
      <c r="B24" s="13" t="s">
        <v>1400</v>
      </c>
      <c r="C24" s="5" t="s">
        <v>269</v>
      </c>
      <c r="D24" s="5" t="s">
        <v>297</v>
      </c>
      <c r="E24" s="5" t="s">
        <v>271</v>
      </c>
      <c r="F24" s="5" t="s">
        <v>270</v>
      </c>
      <c r="G24" s="14" t="s">
        <v>1401</v>
      </c>
      <c r="H24" s="14" t="s">
        <v>1402</v>
      </c>
      <c r="I24" s="5">
        <v>7309</v>
      </c>
      <c r="J24" s="5" t="s">
        <v>458</v>
      </c>
      <c r="K24" s="5" t="s">
        <v>404</v>
      </c>
      <c r="L24" s="16">
        <v>80003</v>
      </c>
      <c r="M24" s="16" t="str">
        <f t="shared" si="0"/>
        <v>80003-68-MUM-LED</v>
      </c>
      <c r="N24" s="16" t="str">
        <f t="shared" si="1"/>
        <v>Airticket MR. SHANTANU ROOJ-SG0014-AUG-26-06-05-2026-Mumbai-New Delhi</v>
      </c>
      <c r="O24" s="16" t="s">
        <v>1403</v>
      </c>
      <c r="P24" s="17" t="s">
        <v>1404</v>
      </c>
      <c r="Q24" s="16" t="str">
        <f t="shared" si="2"/>
        <v>68-MUM-LED</v>
      </c>
      <c r="R24" s="16" t="str">
        <f t="shared" si="3"/>
        <v>LED</v>
      </c>
      <c r="S24" s="18" t="s">
        <v>1400</v>
      </c>
    </row>
    <row r="25" spans="1:19" x14ac:dyDescent="0.3">
      <c r="A25" s="12" t="s">
        <v>1399</v>
      </c>
      <c r="B25" s="13" t="s">
        <v>1400</v>
      </c>
      <c r="C25" s="5" t="s">
        <v>269</v>
      </c>
      <c r="D25" s="5" t="s">
        <v>295</v>
      </c>
      <c r="E25" s="5" t="s">
        <v>271</v>
      </c>
      <c r="F25" s="5" t="s">
        <v>270</v>
      </c>
      <c r="G25" s="14" t="s">
        <v>1401</v>
      </c>
      <c r="H25" s="14" t="s">
        <v>1402</v>
      </c>
      <c r="I25" s="5">
        <v>8478</v>
      </c>
      <c r="J25" s="5" t="s">
        <v>468</v>
      </c>
      <c r="K25" s="5" t="s">
        <v>439</v>
      </c>
      <c r="L25" s="16">
        <v>80003</v>
      </c>
      <c r="M25" s="16" t="str">
        <f t="shared" si="0"/>
        <v>80003-68-MUM-LED</v>
      </c>
      <c r="N25" s="16" t="str">
        <f t="shared" si="1"/>
        <v>Airticket MR. SHANTANU ROOJ-SG0014-AUG-26-06-05-2026-New Delhi-Mumbai</v>
      </c>
      <c r="O25" s="16" t="s">
        <v>1403</v>
      </c>
      <c r="P25" s="17" t="s">
        <v>1404</v>
      </c>
      <c r="Q25" s="16" t="str">
        <f t="shared" si="2"/>
        <v>68-MUM-LED</v>
      </c>
      <c r="R25" s="16" t="str">
        <f t="shared" si="3"/>
        <v>LED</v>
      </c>
      <c r="S25" s="18" t="s">
        <v>1400</v>
      </c>
    </row>
    <row r="26" spans="1:19" x14ac:dyDescent="0.3">
      <c r="A26" s="12" t="s">
        <v>1399</v>
      </c>
      <c r="B26" s="13" t="s">
        <v>1400</v>
      </c>
      <c r="C26" s="5" t="s">
        <v>269</v>
      </c>
      <c r="D26" s="5" t="s">
        <v>481</v>
      </c>
      <c r="E26" s="5" t="s">
        <v>271</v>
      </c>
      <c r="F26" s="5" t="s">
        <v>270</v>
      </c>
      <c r="G26" s="14" t="s">
        <v>1401</v>
      </c>
      <c r="H26" s="14" t="s">
        <v>1402</v>
      </c>
      <c r="I26" s="5">
        <v>10081</v>
      </c>
      <c r="J26" s="5" t="s">
        <v>479</v>
      </c>
      <c r="K26" s="5" t="s">
        <v>439</v>
      </c>
      <c r="L26" s="16">
        <v>80003</v>
      </c>
      <c r="M26" s="16" t="str">
        <f t="shared" si="0"/>
        <v>80003-68-MUM-LED</v>
      </c>
      <c r="N26" s="16" t="str">
        <f t="shared" si="1"/>
        <v>Airticket MR. SHANTANU ROOJ-SG0014-AUG-26-06-05-2026-Ahmedabad-Mumbai</v>
      </c>
      <c r="O26" s="16" t="s">
        <v>1403</v>
      </c>
      <c r="P26" s="17" t="s">
        <v>1404</v>
      </c>
      <c r="Q26" s="16" t="str">
        <f t="shared" si="2"/>
        <v>68-MUM-LED</v>
      </c>
      <c r="R26" s="16" t="str">
        <f t="shared" si="3"/>
        <v>LED</v>
      </c>
      <c r="S26" s="18" t="s">
        <v>1400</v>
      </c>
    </row>
    <row r="27" spans="1:19" x14ac:dyDescent="0.3">
      <c r="A27" s="12" t="s">
        <v>1399</v>
      </c>
      <c r="B27" s="13" t="s">
        <v>1400</v>
      </c>
      <c r="C27" s="5" t="s">
        <v>269</v>
      </c>
      <c r="D27" s="5" t="s">
        <v>491</v>
      </c>
      <c r="E27" s="5" t="s">
        <v>271</v>
      </c>
      <c r="F27" s="5" t="s">
        <v>270</v>
      </c>
      <c r="G27" s="14" t="s">
        <v>1401</v>
      </c>
      <c r="H27" s="14" t="s">
        <v>1402</v>
      </c>
      <c r="I27" s="5">
        <v>7711</v>
      </c>
      <c r="J27" s="5" t="s">
        <v>489</v>
      </c>
      <c r="K27" s="5" t="s">
        <v>439</v>
      </c>
      <c r="L27" s="16">
        <v>80003</v>
      </c>
      <c r="M27" s="16" t="str">
        <f t="shared" si="0"/>
        <v>80003-68-MUM-LED</v>
      </c>
      <c r="N27" s="16" t="str">
        <f t="shared" si="1"/>
        <v>Airticket MR. SHANTANU ROOJ-SG0014-AUG-26-06-05-2026-Mumbai-Ahmedabad</v>
      </c>
      <c r="O27" s="16" t="s">
        <v>1403</v>
      </c>
      <c r="P27" s="17" t="s">
        <v>1404</v>
      </c>
      <c r="Q27" s="16" t="str">
        <f t="shared" si="2"/>
        <v>68-MUM-LED</v>
      </c>
      <c r="R27" s="16" t="str">
        <f t="shared" si="3"/>
        <v>LED</v>
      </c>
      <c r="S27" s="18" t="s">
        <v>1400</v>
      </c>
    </row>
    <row r="28" spans="1:19" x14ac:dyDescent="0.3">
      <c r="A28" s="12" t="s">
        <v>1399</v>
      </c>
      <c r="B28" s="13" t="s">
        <v>1400</v>
      </c>
      <c r="C28" s="5" t="s">
        <v>501</v>
      </c>
      <c r="D28" s="5" t="s">
        <v>504</v>
      </c>
      <c r="E28" s="5" t="s">
        <v>503</v>
      </c>
      <c r="F28" s="5" t="s">
        <v>502</v>
      </c>
      <c r="G28" s="14" t="s">
        <v>1401</v>
      </c>
      <c r="H28" s="14" t="s">
        <v>1402</v>
      </c>
      <c r="I28" s="5">
        <v>7459</v>
      </c>
      <c r="J28" s="5" t="s">
        <v>499</v>
      </c>
      <c r="K28" s="5" t="s">
        <v>439</v>
      </c>
      <c r="L28" s="16">
        <v>80003</v>
      </c>
      <c r="M28" s="16" t="str">
        <f t="shared" si="0"/>
        <v>80003-69-MUM-PBD</v>
      </c>
      <c r="N28" s="16" t="str">
        <f t="shared" si="1"/>
        <v>Airticket MS. SHRUTIKA SHARMA-T16151-AUG-26-06-05-2026-Bangalore-Mumbai</v>
      </c>
      <c r="O28" s="16" t="s">
        <v>1403</v>
      </c>
      <c r="P28" s="17" t="s">
        <v>1404</v>
      </c>
      <c r="Q28" s="16" t="str">
        <f t="shared" si="2"/>
        <v>69-MUM-PBD</v>
      </c>
      <c r="R28" s="16" t="str">
        <f t="shared" si="3"/>
        <v>PBD</v>
      </c>
      <c r="S28" s="18" t="s">
        <v>1400</v>
      </c>
    </row>
    <row r="29" spans="1:19" x14ac:dyDescent="0.3">
      <c r="A29" s="12" t="s">
        <v>1399</v>
      </c>
      <c r="B29" s="13" t="s">
        <v>1400</v>
      </c>
      <c r="C29" s="5" t="s">
        <v>501</v>
      </c>
      <c r="D29" s="5" t="s">
        <v>517</v>
      </c>
      <c r="E29" s="5" t="s">
        <v>503</v>
      </c>
      <c r="F29" s="5" t="s">
        <v>502</v>
      </c>
      <c r="G29" s="14" t="s">
        <v>1401</v>
      </c>
      <c r="H29" s="14" t="s">
        <v>1402</v>
      </c>
      <c r="I29" s="5">
        <v>8333</v>
      </c>
      <c r="J29" s="5" t="s">
        <v>515</v>
      </c>
      <c r="K29" s="5" t="s">
        <v>439</v>
      </c>
      <c r="L29" s="16">
        <v>80003</v>
      </c>
      <c r="M29" s="16" t="str">
        <f t="shared" si="0"/>
        <v>80003-69-MUM-PBD</v>
      </c>
      <c r="N29" s="16" t="str">
        <f t="shared" si="1"/>
        <v>Airticket MS. SHRUTIKA SHARMA-T16151-AUG-26-06-05-2026-Mumbai-Bangalore</v>
      </c>
      <c r="O29" s="16" t="s">
        <v>1403</v>
      </c>
      <c r="P29" s="17" t="s">
        <v>1404</v>
      </c>
      <c r="Q29" s="16" t="str">
        <f t="shared" si="2"/>
        <v>69-MUM-PBD</v>
      </c>
      <c r="R29" s="16" t="str">
        <f t="shared" si="3"/>
        <v>PBD</v>
      </c>
      <c r="S29" s="18" t="s">
        <v>1400</v>
      </c>
    </row>
    <row r="30" spans="1:19" x14ac:dyDescent="0.3">
      <c r="A30" s="12" t="s">
        <v>1399</v>
      </c>
      <c r="B30" s="13" t="s">
        <v>1400</v>
      </c>
      <c r="C30" s="5" t="s">
        <v>558</v>
      </c>
      <c r="D30" s="5" t="s">
        <v>562</v>
      </c>
      <c r="E30" s="5" t="s">
        <v>560</v>
      </c>
      <c r="F30" s="5" t="s">
        <v>559</v>
      </c>
      <c r="G30" s="14" t="s">
        <v>1401</v>
      </c>
      <c r="H30" s="14" t="s">
        <v>1402</v>
      </c>
      <c r="I30" s="5">
        <v>6743</v>
      </c>
      <c r="J30" s="5" t="s">
        <v>556</v>
      </c>
      <c r="K30" s="5" t="s">
        <v>557</v>
      </c>
      <c r="L30" s="16">
        <v>80003</v>
      </c>
      <c r="M30" s="16" t="str">
        <f t="shared" si="0"/>
        <v>80003-61-MUM-ASO</v>
      </c>
      <c r="N30" s="16" t="str">
        <f t="shared" si="1"/>
        <v>Airticket MRS. SRIMATHI R-SG0444-AUG-26-06-05-2026-Mumbai-Gwalior</v>
      </c>
      <c r="O30" s="16" t="s">
        <v>1403</v>
      </c>
      <c r="P30" s="17" t="s">
        <v>1404</v>
      </c>
      <c r="Q30" s="16" t="str">
        <f t="shared" si="2"/>
        <v>61-MUM-ASO</v>
      </c>
      <c r="R30" s="16" t="str">
        <f t="shared" si="3"/>
        <v>ASO</v>
      </c>
      <c r="S30" s="18" t="s">
        <v>1400</v>
      </c>
    </row>
    <row r="31" spans="1:19" x14ac:dyDescent="0.3">
      <c r="A31" s="12" t="s">
        <v>1399</v>
      </c>
      <c r="B31" s="13" t="s">
        <v>1400</v>
      </c>
      <c r="C31" s="5" t="s">
        <v>558</v>
      </c>
      <c r="D31" s="5" t="s">
        <v>576</v>
      </c>
      <c r="E31" s="5" t="s">
        <v>560</v>
      </c>
      <c r="F31" s="5" t="s">
        <v>559</v>
      </c>
      <c r="G31" s="14" t="s">
        <v>1401</v>
      </c>
      <c r="H31" s="14" t="s">
        <v>1402</v>
      </c>
      <c r="I31" s="5">
        <v>8255</v>
      </c>
      <c r="J31" s="5" t="s">
        <v>574</v>
      </c>
      <c r="K31" s="5" t="s">
        <v>557</v>
      </c>
      <c r="L31" s="16">
        <v>80003</v>
      </c>
      <c r="M31" s="16" t="str">
        <f t="shared" si="0"/>
        <v>80003-61-MUM-ASO</v>
      </c>
      <c r="N31" s="16" t="str">
        <f t="shared" si="1"/>
        <v>Airticket MRS. SRIMATHI R-SG0444-AUG-26-06-05-2026-Gwalior-Mumbai</v>
      </c>
      <c r="O31" s="16" t="s">
        <v>1403</v>
      </c>
      <c r="P31" s="17" t="s">
        <v>1404</v>
      </c>
      <c r="Q31" s="16" t="str">
        <f t="shared" si="2"/>
        <v>61-MUM-ASO</v>
      </c>
      <c r="R31" s="16" t="str">
        <f t="shared" si="3"/>
        <v>ASO</v>
      </c>
      <c r="S31" s="18" t="s">
        <v>1400</v>
      </c>
    </row>
    <row r="32" spans="1:19" x14ac:dyDescent="0.3">
      <c r="A32" s="12" t="s">
        <v>1399</v>
      </c>
      <c r="B32" s="13" t="s">
        <v>1400</v>
      </c>
      <c r="C32" s="5" t="s">
        <v>584</v>
      </c>
      <c r="D32" s="5" t="s">
        <v>448</v>
      </c>
      <c r="E32" s="5" t="s">
        <v>586</v>
      </c>
      <c r="F32" s="5" t="s">
        <v>585</v>
      </c>
      <c r="G32" s="14" t="s">
        <v>1401</v>
      </c>
      <c r="H32" s="14" t="s">
        <v>1402</v>
      </c>
      <c r="I32" s="5">
        <v>8995</v>
      </c>
      <c r="J32" s="5" t="s">
        <v>583</v>
      </c>
      <c r="K32" s="5" t="s">
        <v>557</v>
      </c>
      <c r="L32" s="16">
        <v>80003</v>
      </c>
      <c r="M32" s="16" t="str">
        <f t="shared" si="0"/>
        <v>80003-62-MUM-PBO</v>
      </c>
      <c r="N32" s="16" t="str">
        <f t="shared" si="1"/>
        <v>Airticket MR. PRATHAMESH JADHAV-T16692-AUG-26-06-05-2026-Chennai-Mumbai</v>
      </c>
      <c r="O32" s="16" t="s">
        <v>1403</v>
      </c>
      <c r="P32" s="17" t="s">
        <v>1404</v>
      </c>
      <c r="Q32" s="16" t="str">
        <f t="shared" si="2"/>
        <v>62-MUM-PBO</v>
      </c>
      <c r="R32" s="16" t="str">
        <f t="shared" si="3"/>
        <v>PBO</v>
      </c>
      <c r="S32" s="18" t="s">
        <v>1400</v>
      </c>
    </row>
    <row r="33" spans="1:19" x14ac:dyDescent="0.3">
      <c r="A33" s="12" t="s">
        <v>1399</v>
      </c>
      <c r="B33" s="13" t="s">
        <v>1400</v>
      </c>
      <c r="C33" s="5" t="s">
        <v>584</v>
      </c>
      <c r="D33" s="5" t="s">
        <v>597</v>
      </c>
      <c r="E33" s="5" t="s">
        <v>586</v>
      </c>
      <c r="F33" s="5" t="s">
        <v>585</v>
      </c>
      <c r="G33" s="14" t="s">
        <v>1401</v>
      </c>
      <c r="H33" s="14" t="s">
        <v>1402</v>
      </c>
      <c r="I33" s="5">
        <v>9109</v>
      </c>
      <c r="J33" s="5" t="s">
        <v>596</v>
      </c>
      <c r="K33" s="5" t="s">
        <v>557</v>
      </c>
      <c r="L33" s="16">
        <v>80003</v>
      </c>
      <c r="M33" s="16" t="str">
        <f t="shared" si="0"/>
        <v>80003-62-MUM-PBO</v>
      </c>
      <c r="N33" s="16" t="str">
        <f t="shared" si="1"/>
        <v>Airticket MR. PRATHAMESH JADHAV-T16692-AUG-26-06-05-2026-Mumbai-Chennai</v>
      </c>
      <c r="O33" s="16" t="s">
        <v>1403</v>
      </c>
      <c r="P33" s="17" t="s">
        <v>1404</v>
      </c>
      <c r="Q33" s="16" t="str">
        <f t="shared" si="2"/>
        <v>62-MUM-PBO</v>
      </c>
      <c r="R33" s="16" t="str">
        <f t="shared" si="3"/>
        <v>PBO</v>
      </c>
      <c r="S33" s="18" t="s">
        <v>1400</v>
      </c>
    </row>
    <row r="34" spans="1:19" x14ac:dyDescent="0.3">
      <c r="A34" s="12" t="s">
        <v>1399</v>
      </c>
      <c r="B34" s="13" t="s">
        <v>1400</v>
      </c>
      <c r="C34" s="5" t="s">
        <v>607</v>
      </c>
      <c r="D34" s="5" t="s">
        <v>250</v>
      </c>
      <c r="E34" s="5" t="s">
        <v>339</v>
      </c>
      <c r="F34" s="5" t="s">
        <v>608</v>
      </c>
      <c r="G34" s="14" t="s">
        <v>1401</v>
      </c>
      <c r="H34" s="14" t="s">
        <v>1402</v>
      </c>
      <c r="I34" s="5">
        <v>5734</v>
      </c>
      <c r="J34" s="5" t="s">
        <v>605</v>
      </c>
      <c r="K34" s="5" t="s">
        <v>606</v>
      </c>
      <c r="L34" s="16">
        <v>80003</v>
      </c>
      <c r="M34" s="16" t="str">
        <f t="shared" si="0"/>
        <v>80003-61-MUM-USE</v>
      </c>
      <c r="N34" s="16" t="str">
        <f t="shared" si="1"/>
        <v>Airticket MS. DEEPTI DEEPTI-T17404-AUG-26-06-05-2026-Jaipur-New Delhi</v>
      </c>
      <c r="O34" s="16" t="s">
        <v>1403</v>
      </c>
      <c r="P34" s="17" t="s">
        <v>1404</v>
      </c>
      <c r="Q34" s="16" t="str">
        <f t="shared" si="2"/>
        <v>61-MUM-USE</v>
      </c>
      <c r="R34" s="16" t="str">
        <f t="shared" si="3"/>
        <v>USE</v>
      </c>
      <c r="S34" s="18" t="s">
        <v>1400</v>
      </c>
    </row>
    <row r="35" spans="1:19" x14ac:dyDescent="0.3">
      <c r="A35" s="12" t="s">
        <v>1399</v>
      </c>
      <c r="B35" s="13" t="s">
        <v>1400</v>
      </c>
      <c r="C35" s="5" t="s">
        <v>607</v>
      </c>
      <c r="D35" s="5" t="s">
        <v>253</v>
      </c>
      <c r="E35" s="5" t="s">
        <v>339</v>
      </c>
      <c r="F35" s="5" t="s">
        <v>608</v>
      </c>
      <c r="G35" s="14" t="s">
        <v>1401</v>
      </c>
      <c r="H35" s="14" t="s">
        <v>1402</v>
      </c>
      <c r="I35" s="5">
        <v>4969</v>
      </c>
      <c r="J35" s="5" t="s">
        <v>620</v>
      </c>
      <c r="K35" s="5" t="s">
        <v>606</v>
      </c>
      <c r="L35" s="16">
        <v>80003</v>
      </c>
      <c r="M35" s="16" t="str">
        <f t="shared" si="0"/>
        <v>80003-61-MUM-USE</v>
      </c>
      <c r="N35" s="16" t="str">
        <f t="shared" si="1"/>
        <v>Airticket MS. DEEPTI DEEPTI-T17404-AUG-26-06-05-2026-New Delhi-Jaipur</v>
      </c>
      <c r="O35" s="16" t="s">
        <v>1403</v>
      </c>
      <c r="P35" s="17" t="s">
        <v>1404</v>
      </c>
      <c r="Q35" s="16" t="str">
        <f t="shared" si="2"/>
        <v>61-MUM-USE</v>
      </c>
      <c r="R35" s="16" t="str">
        <f t="shared" si="3"/>
        <v>USE</v>
      </c>
      <c r="S35" s="18" t="s">
        <v>1400</v>
      </c>
    </row>
    <row r="36" spans="1:19" x14ac:dyDescent="0.3">
      <c r="A36" s="12" t="s">
        <v>1399</v>
      </c>
      <c r="B36" s="13" t="s">
        <v>1400</v>
      </c>
      <c r="C36" s="5" t="s">
        <v>637</v>
      </c>
      <c r="D36" s="5" t="s">
        <v>640</v>
      </c>
      <c r="E36" s="5" t="s">
        <v>339</v>
      </c>
      <c r="F36" s="5" t="s">
        <v>638</v>
      </c>
      <c r="G36" s="14" t="s">
        <v>1401</v>
      </c>
      <c r="H36" s="14" t="s">
        <v>1402</v>
      </c>
      <c r="I36" s="5">
        <v>13894</v>
      </c>
      <c r="J36" s="5" t="s">
        <v>636</v>
      </c>
      <c r="K36" s="5" t="s">
        <v>634</v>
      </c>
      <c r="L36" s="16">
        <v>80003</v>
      </c>
      <c r="M36" s="16" t="str">
        <f t="shared" si="0"/>
        <v>80003-61-MUM-USE</v>
      </c>
      <c r="N36" s="16" t="str">
        <f t="shared" si="1"/>
        <v>Airticket MR. KHUNJAMAYUM DAVID SINGH-T17743-AUG-26-06-05-2026-Mysore-Hyderabad</v>
      </c>
      <c r="O36" s="16" t="s">
        <v>1403</v>
      </c>
      <c r="P36" s="17" t="s">
        <v>1404</v>
      </c>
      <c r="Q36" s="16" t="str">
        <f t="shared" si="2"/>
        <v>61-MUM-USE</v>
      </c>
      <c r="R36" s="16" t="str">
        <f t="shared" si="3"/>
        <v>USE</v>
      </c>
      <c r="S36" s="18" t="s">
        <v>1400</v>
      </c>
    </row>
    <row r="37" spans="1:19" x14ac:dyDescent="0.3">
      <c r="A37" s="12" t="s">
        <v>1399</v>
      </c>
      <c r="B37" s="13" t="s">
        <v>1400</v>
      </c>
      <c r="C37" s="5" t="s">
        <v>637</v>
      </c>
      <c r="D37" s="5" t="s">
        <v>652</v>
      </c>
      <c r="E37" s="5" t="s">
        <v>339</v>
      </c>
      <c r="F37" s="5" t="s">
        <v>638</v>
      </c>
      <c r="G37" s="14" t="s">
        <v>1401</v>
      </c>
      <c r="H37" s="14" t="s">
        <v>1402</v>
      </c>
      <c r="I37" s="5">
        <v>9178</v>
      </c>
      <c r="J37" s="5" t="s">
        <v>650</v>
      </c>
      <c r="K37" s="5" t="s">
        <v>634</v>
      </c>
      <c r="L37" s="16">
        <v>80003</v>
      </c>
      <c r="M37" s="16" t="str">
        <f t="shared" si="0"/>
        <v>80003-61-MUM-USE</v>
      </c>
      <c r="N37" s="16" t="str">
        <f t="shared" si="1"/>
        <v>Airticket MR. KHUNJAMAYUM DAVID SINGH-T17743-AUG-26-06-05-2026-Hyderabad-Mysore</v>
      </c>
      <c r="O37" s="16" t="s">
        <v>1403</v>
      </c>
      <c r="P37" s="17" t="s">
        <v>1404</v>
      </c>
      <c r="Q37" s="16" t="str">
        <f t="shared" si="2"/>
        <v>61-MUM-USE</v>
      </c>
      <c r="R37" s="16" t="str">
        <f t="shared" si="3"/>
        <v>USE</v>
      </c>
      <c r="S37" s="18" t="s">
        <v>1400</v>
      </c>
    </row>
    <row r="38" spans="1:19" x14ac:dyDescent="0.3">
      <c r="A38" s="12" t="s">
        <v>1399</v>
      </c>
      <c r="B38" s="13" t="s">
        <v>1400</v>
      </c>
      <c r="C38" s="5" t="s">
        <v>664</v>
      </c>
      <c r="D38" s="5" t="s">
        <v>667</v>
      </c>
      <c r="E38" s="5" t="s">
        <v>503</v>
      </c>
      <c r="F38" s="5" t="s">
        <v>665</v>
      </c>
      <c r="G38" s="14" t="s">
        <v>1401</v>
      </c>
      <c r="H38" s="14" t="s">
        <v>1402</v>
      </c>
      <c r="I38" s="5">
        <v>10918</v>
      </c>
      <c r="J38" s="5" t="s">
        <v>662</v>
      </c>
      <c r="K38" s="5" t="s">
        <v>634</v>
      </c>
      <c r="L38" s="16">
        <v>80003</v>
      </c>
      <c r="M38" s="16" t="str">
        <f t="shared" si="0"/>
        <v>80003-69-MUM-PBD</v>
      </c>
      <c r="N38" s="16" t="str">
        <f t="shared" si="1"/>
        <v>Airticket MR. VIKASH SHARMA-T12988-AUG-26-06-05-2026-New Delhi-Jharsuguda</v>
      </c>
      <c r="O38" s="16" t="s">
        <v>1403</v>
      </c>
      <c r="P38" s="17" t="s">
        <v>1404</v>
      </c>
      <c r="Q38" s="16" t="str">
        <f t="shared" si="2"/>
        <v>69-MUM-PBD</v>
      </c>
      <c r="R38" s="16" t="str">
        <f t="shared" si="3"/>
        <v>PBD</v>
      </c>
      <c r="S38" s="18" t="s">
        <v>1400</v>
      </c>
    </row>
    <row r="39" spans="1:19" x14ac:dyDescent="0.3">
      <c r="A39" s="12" t="s">
        <v>1399</v>
      </c>
      <c r="B39" s="13" t="s">
        <v>1400</v>
      </c>
      <c r="C39" s="5" t="s">
        <v>558</v>
      </c>
      <c r="D39" s="5" t="s">
        <v>295</v>
      </c>
      <c r="E39" s="5" t="s">
        <v>560</v>
      </c>
      <c r="F39" s="5" t="s">
        <v>559</v>
      </c>
      <c r="G39" s="14" t="s">
        <v>1401</v>
      </c>
      <c r="H39" s="14" t="s">
        <v>1402</v>
      </c>
      <c r="I39" s="5">
        <v>7119</v>
      </c>
      <c r="J39" s="5" t="s">
        <v>678</v>
      </c>
      <c r="K39" s="5" t="s">
        <v>631</v>
      </c>
      <c r="L39" s="16">
        <v>80003</v>
      </c>
      <c r="M39" s="16" t="str">
        <f t="shared" si="0"/>
        <v>80003-61-MUM-ASO</v>
      </c>
      <c r="N39" s="16" t="str">
        <f t="shared" si="1"/>
        <v>Airticket MRS. SRIMATHI R-SG0444-AUG-26-06-05-2026-New Delhi-Mumbai</v>
      </c>
      <c r="O39" s="16" t="s">
        <v>1403</v>
      </c>
      <c r="P39" s="17" t="s">
        <v>1404</v>
      </c>
      <c r="Q39" s="16" t="str">
        <f t="shared" si="2"/>
        <v>61-MUM-ASO</v>
      </c>
      <c r="R39" s="16" t="str">
        <f t="shared" si="3"/>
        <v>ASO</v>
      </c>
      <c r="S39" s="18" t="s">
        <v>1400</v>
      </c>
    </row>
    <row r="40" spans="1:19" x14ac:dyDescent="0.3">
      <c r="A40" s="12" t="s">
        <v>1399</v>
      </c>
      <c r="B40" s="13" t="s">
        <v>1400</v>
      </c>
      <c r="C40" s="5" t="s">
        <v>686</v>
      </c>
      <c r="D40" s="5" t="s">
        <v>689</v>
      </c>
      <c r="E40" s="5" t="s">
        <v>503</v>
      </c>
      <c r="F40" s="5" t="s">
        <v>687</v>
      </c>
      <c r="G40" s="14" t="s">
        <v>1401</v>
      </c>
      <c r="H40" s="14" t="s">
        <v>1402</v>
      </c>
      <c r="I40" s="5">
        <v>8290</v>
      </c>
      <c r="J40" s="5" t="s">
        <v>685</v>
      </c>
      <c r="K40" s="5" t="s">
        <v>677</v>
      </c>
      <c r="L40" s="16">
        <v>80003</v>
      </c>
      <c r="M40" s="16" t="str">
        <f t="shared" si="0"/>
        <v>80003-69-MUM-PBD</v>
      </c>
      <c r="N40" s="16" t="str">
        <f t="shared" si="1"/>
        <v>Airticket MR. SHASHWAT SAGAR DUBEY-T13872-AUG-26-06-05-2026-New Delhi-Jodhpur</v>
      </c>
      <c r="O40" s="16" t="s">
        <v>1403</v>
      </c>
      <c r="P40" s="17" t="s">
        <v>1404</v>
      </c>
      <c r="Q40" s="16" t="str">
        <f t="shared" si="2"/>
        <v>69-MUM-PBD</v>
      </c>
      <c r="R40" s="16" t="str">
        <f t="shared" si="3"/>
        <v>PBD</v>
      </c>
      <c r="S40" s="18" t="s">
        <v>1400</v>
      </c>
    </row>
    <row r="41" spans="1:19" x14ac:dyDescent="0.3">
      <c r="A41" s="12" t="s">
        <v>1399</v>
      </c>
      <c r="B41" s="13" t="s">
        <v>1400</v>
      </c>
      <c r="C41" s="5" t="s">
        <v>686</v>
      </c>
      <c r="D41" s="5" t="s">
        <v>700</v>
      </c>
      <c r="E41" s="5" t="s">
        <v>503</v>
      </c>
      <c r="F41" s="5" t="s">
        <v>687</v>
      </c>
      <c r="G41" s="14" t="s">
        <v>1401</v>
      </c>
      <c r="H41" s="14" t="s">
        <v>1402</v>
      </c>
      <c r="I41" s="5">
        <v>8749</v>
      </c>
      <c r="J41" s="5" t="s">
        <v>699</v>
      </c>
      <c r="K41" s="5" t="s">
        <v>677</v>
      </c>
      <c r="L41" s="16">
        <v>80003</v>
      </c>
      <c r="M41" s="16" t="str">
        <f t="shared" si="0"/>
        <v>80003-69-MUM-PBD</v>
      </c>
      <c r="N41" s="16" t="str">
        <f t="shared" si="1"/>
        <v>Airticket MR. SHASHWAT SAGAR DUBEY-T13872-AUG-26-06-05-2026-Jodhpur-New Delhi</v>
      </c>
      <c r="O41" s="16" t="s">
        <v>1403</v>
      </c>
      <c r="P41" s="17" t="s">
        <v>1404</v>
      </c>
      <c r="Q41" s="16" t="str">
        <f t="shared" si="2"/>
        <v>69-MUM-PBD</v>
      </c>
      <c r="R41" s="16" t="str">
        <f t="shared" si="3"/>
        <v>PBD</v>
      </c>
      <c r="S41" s="18" t="s">
        <v>1400</v>
      </c>
    </row>
    <row r="42" spans="1:19" x14ac:dyDescent="0.3">
      <c r="A42" s="12" t="s">
        <v>1399</v>
      </c>
      <c r="B42" s="13" t="s">
        <v>1400</v>
      </c>
      <c r="C42" s="5" t="s">
        <v>215</v>
      </c>
      <c r="D42" s="5" t="s">
        <v>258</v>
      </c>
      <c r="E42" s="5" t="s">
        <v>213</v>
      </c>
      <c r="F42" s="5" t="s">
        <v>224</v>
      </c>
      <c r="G42" s="14" t="s">
        <v>1401</v>
      </c>
      <c r="H42" s="14" t="s">
        <v>1402</v>
      </c>
      <c r="I42" s="5">
        <v>9078</v>
      </c>
      <c r="J42" s="5" t="s">
        <v>709</v>
      </c>
      <c r="K42" s="5" t="s">
        <v>710</v>
      </c>
      <c r="L42" s="16">
        <v>80003</v>
      </c>
      <c r="M42" s="16" t="str">
        <f t="shared" si="0"/>
        <v>80003-62-MUM-SSS</v>
      </c>
      <c r="N42" s="16" t="str">
        <f t="shared" si="1"/>
        <v>Airticket MR. UDITENDU BOSE-SG0320-AUG-26-06-05-2026-New Delhi-Kolkata</v>
      </c>
      <c r="O42" s="16" t="s">
        <v>1403</v>
      </c>
      <c r="P42" s="17" t="s">
        <v>1404</v>
      </c>
      <c r="Q42" s="16" t="str">
        <f t="shared" si="2"/>
        <v>62-MUM-SSS</v>
      </c>
      <c r="R42" s="16" t="str">
        <f t="shared" si="3"/>
        <v>SSS</v>
      </c>
      <c r="S42" s="18" t="s">
        <v>1400</v>
      </c>
    </row>
    <row r="43" spans="1:19" x14ac:dyDescent="0.3">
      <c r="A43" s="12" t="s">
        <v>1399</v>
      </c>
      <c r="B43" s="13" t="s">
        <v>1400</v>
      </c>
      <c r="C43" s="5" t="s">
        <v>215</v>
      </c>
      <c r="D43" s="5" t="s">
        <v>255</v>
      </c>
      <c r="E43" s="5" t="s">
        <v>213</v>
      </c>
      <c r="F43" s="5" t="s">
        <v>224</v>
      </c>
      <c r="G43" s="14" t="s">
        <v>1401</v>
      </c>
      <c r="H43" s="14" t="s">
        <v>1402</v>
      </c>
      <c r="I43" s="5">
        <v>9996</v>
      </c>
      <c r="J43" s="5" t="s">
        <v>719</v>
      </c>
      <c r="K43" s="5" t="s">
        <v>710</v>
      </c>
      <c r="L43" s="16">
        <v>80003</v>
      </c>
      <c r="M43" s="16" t="str">
        <f t="shared" si="0"/>
        <v>80003-62-MUM-SSS</v>
      </c>
      <c r="N43" s="16" t="str">
        <f t="shared" si="1"/>
        <v>Airticket MR. UDITENDU BOSE-SG0320-AUG-26-06-05-2026-Kolkata-New Delhi</v>
      </c>
      <c r="O43" s="16" t="s">
        <v>1403</v>
      </c>
      <c r="P43" s="17" t="s">
        <v>1404</v>
      </c>
      <c r="Q43" s="16" t="str">
        <f t="shared" si="2"/>
        <v>62-MUM-SSS</v>
      </c>
      <c r="R43" s="16" t="str">
        <f t="shared" si="3"/>
        <v>SSS</v>
      </c>
      <c r="S43" s="18" t="s">
        <v>1400</v>
      </c>
    </row>
    <row r="44" spans="1:19" x14ac:dyDescent="0.3">
      <c r="A44" s="12" t="s">
        <v>1399</v>
      </c>
      <c r="B44" s="13" t="s">
        <v>1400</v>
      </c>
      <c r="C44" s="5" t="s">
        <v>731</v>
      </c>
      <c r="D44" s="5" t="s">
        <v>297</v>
      </c>
      <c r="E44" s="5" t="s">
        <v>627</v>
      </c>
      <c r="F44" s="5" t="s">
        <v>732</v>
      </c>
      <c r="G44" s="14" t="s">
        <v>1401</v>
      </c>
      <c r="H44" s="14" t="s">
        <v>1402</v>
      </c>
      <c r="I44" s="5">
        <v>7151</v>
      </c>
      <c r="J44" s="5" t="s">
        <v>729</v>
      </c>
      <c r="K44" s="5" t="s">
        <v>684</v>
      </c>
      <c r="L44" s="16">
        <v>80003</v>
      </c>
      <c r="M44" s="16" t="str">
        <f t="shared" si="0"/>
        <v>80003-64-BAN-CSS</v>
      </c>
      <c r="N44" s="16" t="str">
        <f t="shared" si="1"/>
        <v>Airticket MR. VARUN MAHESHWARI-T15657-AUG-26-06-05-2026-Mumbai-New Delhi</v>
      </c>
      <c r="O44" s="16" t="s">
        <v>1403</v>
      </c>
      <c r="P44" s="17" t="s">
        <v>1404</v>
      </c>
      <c r="Q44" s="16" t="str">
        <f t="shared" si="2"/>
        <v>64-BAN-CSS</v>
      </c>
      <c r="R44" s="16" t="str">
        <f t="shared" si="3"/>
        <v>CSS</v>
      </c>
      <c r="S44" s="18" t="s">
        <v>1400</v>
      </c>
    </row>
    <row r="45" spans="1:19" x14ac:dyDescent="0.3">
      <c r="A45" s="12" t="s">
        <v>1399</v>
      </c>
      <c r="B45" s="13" t="s">
        <v>1400</v>
      </c>
      <c r="C45" s="5" t="s">
        <v>731</v>
      </c>
      <c r="D45" s="5" t="s">
        <v>743</v>
      </c>
      <c r="E45" s="5" t="s">
        <v>627</v>
      </c>
      <c r="F45" s="5" t="s">
        <v>732</v>
      </c>
      <c r="G45" s="14" t="s">
        <v>1401</v>
      </c>
      <c r="H45" s="14" t="s">
        <v>1402</v>
      </c>
      <c r="I45" s="5">
        <v>9989</v>
      </c>
      <c r="J45" s="5" t="s">
        <v>741</v>
      </c>
      <c r="K45" s="5" t="s">
        <v>684</v>
      </c>
      <c r="L45" s="16">
        <v>80003</v>
      </c>
      <c r="M45" s="16" t="str">
        <f t="shared" si="0"/>
        <v>80003-64-BAN-CSS</v>
      </c>
      <c r="N45" s="16" t="str">
        <f t="shared" si="1"/>
        <v>Airticket MR. VARUN MAHESHWARI-T15657-AUG-26-06-05-2026-New Delhi-Vadodara</v>
      </c>
      <c r="O45" s="16" t="s">
        <v>1403</v>
      </c>
      <c r="P45" s="17" t="s">
        <v>1404</v>
      </c>
      <c r="Q45" s="16" t="str">
        <f t="shared" si="2"/>
        <v>64-BAN-CSS</v>
      </c>
      <c r="R45" s="16" t="str">
        <f t="shared" si="3"/>
        <v>CSS</v>
      </c>
      <c r="S45" s="18" t="s">
        <v>1400</v>
      </c>
    </row>
    <row r="46" spans="1:19" x14ac:dyDescent="0.3">
      <c r="A46" s="12" t="s">
        <v>1399</v>
      </c>
      <c r="B46" s="13" t="s">
        <v>1400</v>
      </c>
      <c r="C46" s="5" t="s">
        <v>752</v>
      </c>
      <c r="D46" s="5" t="s">
        <v>258</v>
      </c>
      <c r="E46" s="5" t="s">
        <v>213</v>
      </c>
      <c r="F46" s="5" t="s">
        <v>753</v>
      </c>
      <c r="G46" s="14" t="s">
        <v>1401</v>
      </c>
      <c r="H46" s="14" t="s">
        <v>1402</v>
      </c>
      <c r="I46" s="5">
        <v>9507</v>
      </c>
      <c r="J46" s="5" t="s">
        <v>751</v>
      </c>
      <c r="K46" s="5" t="s">
        <v>708</v>
      </c>
      <c r="L46" s="16">
        <v>80003</v>
      </c>
      <c r="M46" s="16" t="str">
        <f t="shared" si="0"/>
        <v>80003-62-MUM-SSS</v>
      </c>
      <c r="N46" s="16" t="str">
        <f t="shared" si="1"/>
        <v>Airticket MR. SIDDHARTHA BOSE-T17566-AUG-26-06-05-2026-New Delhi-Kolkata</v>
      </c>
      <c r="O46" s="16" t="s">
        <v>1403</v>
      </c>
      <c r="P46" s="17" t="s">
        <v>1404</v>
      </c>
      <c r="Q46" s="16" t="str">
        <f t="shared" si="2"/>
        <v>62-MUM-SSS</v>
      </c>
      <c r="R46" s="16" t="str">
        <f t="shared" si="3"/>
        <v>SSS</v>
      </c>
      <c r="S46" s="18" t="s">
        <v>1400</v>
      </c>
    </row>
    <row r="47" spans="1:19" x14ac:dyDescent="0.3">
      <c r="A47" s="12" t="s">
        <v>1399</v>
      </c>
      <c r="B47" s="13" t="s">
        <v>1400</v>
      </c>
      <c r="C47" s="5" t="s">
        <v>752</v>
      </c>
      <c r="D47" s="5" t="s">
        <v>255</v>
      </c>
      <c r="E47" s="5" t="s">
        <v>213</v>
      </c>
      <c r="F47" s="5" t="s">
        <v>753</v>
      </c>
      <c r="G47" s="14" t="s">
        <v>1401</v>
      </c>
      <c r="H47" s="14" t="s">
        <v>1402</v>
      </c>
      <c r="I47" s="5">
        <v>8797</v>
      </c>
      <c r="J47" s="5" t="s">
        <v>764</v>
      </c>
      <c r="K47" s="5" t="s">
        <v>708</v>
      </c>
      <c r="L47" s="16">
        <v>80003</v>
      </c>
      <c r="M47" s="16" t="str">
        <f t="shared" si="0"/>
        <v>80003-62-MUM-SSS</v>
      </c>
      <c r="N47" s="16" t="str">
        <f t="shared" si="1"/>
        <v>Airticket MR. SIDDHARTHA BOSE-T17566-AUG-26-06-05-2026-Kolkata-New Delhi</v>
      </c>
      <c r="O47" s="16" t="s">
        <v>1403</v>
      </c>
      <c r="P47" s="17" t="s">
        <v>1404</v>
      </c>
      <c r="Q47" s="16" t="str">
        <f t="shared" si="2"/>
        <v>62-MUM-SSS</v>
      </c>
      <c r="R47" s="16" t="str">
        <f t="shared" si="3"/>
        <v>SSS</v>
      </c>
      <c r="S47" s="18" t="s">
        <v>1400</v>
      </c>
    </row>
    <row r="48" spans="1:19" x14ac:dyDescent="0.3">
      <c r="A48" s="12" t="s">
        <v>1399</v>
      </c>
      <c r="B48" s="13" t="s">
        <v>1400</v>
      </c>
      <c r="C48" s="5" t="s">
        <v>777</v>
      </c>
      <c r="D48" s="5" t="s">
        <v>780</v>
      </c>
      <c r="E48" s="5" t="s">
        <v>339</v>
      </c>
      <c r="F48" s="5" t="s">
        <v>778</v>
      </c>
      <c r="G48" s="14" t="s">
        <v>1401</v>
      </c>
      <c r="H48" s="14" t="s">
        <v>1402</v>
      </c>
      <c r="I48" s="5">
        <v>8314</v>
      </c>
      <c r="J48" s="5" t="s">
        <v>776</v>
      </c>
      <c r="K48" s="5" t="s">
        <v>772</v>
      </c>
      <c r="L48" s="16">
        <v>80003</v>
      </c>
      <c r="M48" s="16" t="str">
        <f t="shared" si="0"/>
        <v>80003-61-MUM-USE</v>
      </c>
      <c r="N48" s="16" t="str">
        <f t="shared" si="1"/>
        <v>Airticket MR. NAKUL JOSHI-T15226-AUG-26-06-05-2026-Mumbai-Bhopal</v>
      </c>
      <c r="O48" s="16" t="s">
        <v>1403</v>
      </c>
      <c r="P48" s="17" t="s">
        <v>1404</v>
      </c>
      <c r="Q48" s="16" t="str">
        <f t="shared" si="2"/>
        <v>61-MUM-USE</v>
      </c>
      <c r="R48" s="16" t="str">
        <f t="shared" si="3"/>
        <v>USE</v>
      </c>
      <c r="S48" s="18" t="s">
        <v>1400</v>
      </c>
    </row>
    <row r="49" spans="1:19" x14ac:dyDescent="0.3">
      <c r="A49" s="12" t="s">
        <v>1399</v>
      </c>
      <c r="B49" s="13" t="s">
        <v>1400</v>
      </c>
      <c r="C49" s="5" t="s">
        <v>607</v>
      </c>
      <c r="D49" s="5" t="s">
        <v>302</v>
      </c>
      <c r="E49" s="5" t="s">
        <v>339</v>
      </c>
      <c r="F49" s="5" t="s">
        <v>608</v>
      </c>
      <c r="G49" s="14" t="s">
        <v>1401</v>
      </c>
      <c r="H49" s="14" t="s">
        <v>1402</v>
      </c>
      <c r="I49" s="5">
        <v>5395</v>
      </c>
      <c r="J49" s="5" t="s">
        <v>789</v>
      </c>
      <c r="K49" s="5" t="s">
        <v>772</v>
      </c>
      <c r="L49" s="16">
        <v>80003</v>
      </c>
      <c r="M49" s="16" t="str">
        <f t="shared" si="0"/>
        <v>80003-61-MUM-USE</v>
      </c>
      <c r="N49" s="16" t="str">
        <f t="shared" si="1"/>
        <v>Airticket MS. DEEPTI DEEPTI-T17404-AUG-26-06-05-2026-Bhopal-New Delhi</v>
      </c>
      <c r="O49" s="16" t="s">
        <v>1403</v>
      </c>
      <c r="P49" s="17" t="s">
        <v>1404</v>
      </c>
      <c r="Q49" s="16" t="str">
        <f t="shared" si="2"/>
        <v>61-MUM-USE</v>
      </c>
      <c r="R49" s="16" t="str">
        <f t="shared" si="3"/>
        <v>USE</v>
      </c>
      <c r="S49" s="18" t="s">
        <v>1400</v>
      </c>
    </row>
    <row r="50" spans="1:19" x14ac:dyDescent="0.3">
      <c r="A50" s="12" t="s">
        <v>1399</v>
      </c>
      <c r="B50" s="13" t="s">
        <v>1400</v>
      </c>
      <c r="C50" s="5" t="s">
        <v>607</v>
      </c>
      <c r="D50" s="5" t="s">
        <v>773</v>
      </c>
      <c r="E50" s="5" t="s">
        <v>339</v>
      </c>
      <c r="F50" s="5" t="s">
        <v>608</v>
      </c>
      <c r="G50" s="14" t="s">
        <v>1401</v>
      </c>
      <c r="H50" s="14" t="s">
        <v>1402</v>
      </c>
      <c r="I50" s="5">
        <v>5906</v>
      </c>
      <c r="J50" s="5" t="s">
        <v>796</v>
      </c>
      <c r="K50" s="5" t="s">
        <v>772</v>
      </c>
      <c r="L50" s="16">
        <v>80003</v>
      </c>
      <c r="M50" s="16" t="str">
        <f t="shared" si="0"/>
        <v>80003-61-MUM-USE</v>
      </c>
      <c r="N50" s="16" t="str">
        <f t="shared" si="1"/>
        <v>Airticket MS. DEEPTI DEEPTI-T17404-AUG-26-06-05-2026-New Delhi-Bhopal</v>
      </c>
      <c r="O50" s="16" t="s">
        <v>1403</v>
      </c>
      <c r="P50" s="17" t="s">
        <v>1404</v>
      </c>
      <c r="Q50" s="16" t="str">
        <f t="shared" si="2"/>
        <v>61-MUM-USE</v>
      </c>
      <c r="R50" s="16" t="str">
        <f t="shared" si="3"/>
        <v>USE</v>
      </c>
      <c r="S50" s="18" t="s">
        <v>1400</v>
      </c>
    </row>
    <row r="51" spans="1:19" x14ac:dyDescent="0.3">
      <c r="A51" s="12" t="s">
        <v>1399</v>
      </c>
      <c r="B51" s="13" t="s">
        <v>1400</v>
      </c>
      <c r="C51" s="5" t="s">
        <v>826</v>
      </c>
      <c r="D51" s="5" t="s">
        <v>286</v>
      </c>
      <c r="E51" s="5" t="s">
        <v>213</v>
      </c>
      <c r="F51" s="5" t="s">
        <v>224</v>
      </c>
      <c r="G51" s="14" t="s">
        <v>1401</v>
      </c>
      <c r="H51" s="14" t="s">
        <v>1405</v>
      </c>
      <c r="I51" s="5">
        <v>428</v>
      </c>
      <c r="J51" s="5" t="s">
        <v>825</v>
      </c>
      <c r="K51" s="5" t="s">
        <v>439</v>
      </c>
      <c r="L51" s="16">
        <v>80003</v>
      </c>
      <c r="M51" s="16" t="str">
        <f t="shared" ref="M51" si="4">CONCATENATE(L51,"-",E51)</f>
        <v>80003-62-MUM-SSS</v>
      </c>
      <c r="N51" s="16" t="str">
        <f t="shared" ref="N51" si="5">CONCATENATE(H51," ",C51,"-",F51,"-",B51,"-",P51,"-",D51)</f>
        <v>Misc Mr. UDITENDU BOSE-SG0320-AUG-26-06-05-2026-Kolkata-Mumbai</v>
      </c>
      <c r="O51" s="16" t="s">
        <v>1403</v>
      </c>
      <c r="P51" s="17" t="s">
        <v>1404</v>
      </c>
      <c r="Q51" s="16" t="str">
        <f t="shared" ref="Q51" si="6">E51</f>
        <v>62-MUM-SSS</v>
      </c>
      <c r="R51" s="16" t="str">
        <f t="shared" si="3"/>
        <v>SSS</v>
      </c>
      <c r="S51" s="18" t="s">
        <v>1400</v>
      </c>
    </row>
    <row r="52" spans="1:19" x14ac:dyDescent="0.3">
      <c r="A52" s="12" t="s">
        <v>1399</v>
      </c>
      <c r="B52" s="13" t="s">
        <v>1400</v>
      </c>
      <c r="C52" s="5" t="s">
        <v>833</v>
      </c>
      <c r="D52" s="5" t="s">
        <v>273</v>
      </c>
      <c r="E52" s="5" t="s">
        <v>213</v>
      </c>
      <c r="F52" s="5" t="s">
        <v>224</v>
      </c>
      <c r="G52" s="14" t="s">
        <v>1401</v>
      </c>
      <c r="H52" s="14" t="s">
        <v>1405</v>
      </c>
      <c r="I52" s="5">
        <v>975</v>
      </c>
      <c r="J52" s="5" t="s">
        <v>832</v>
      </c>
      <c r="K52" s="5" t="s">
        <v>404</v>
      </c>
      <c r="L52" s="16">
        <v>80003</v>
      </c>
      <c r="M52" s="16" t="str">
        <f t="shared" ref="M52:M53" si="7">CONCATENATE(L52,"-",E52)</f>
        <v>80003-62-MUM-SSS</v>
      </c>
      <c r="N52" s="16" t="str">
        <f t="shared" ref="N52:N53" si="8">CONCATENATE(H52," ",C52,"-",F52,"-",B52,"-",P52,"-",D52)</f>
        <v>Misc BOSE/UDITENDU MR-SG0320-AUG-26-06-05-2026-Mumbai-Kolkata</v>
      </c>
      <c r="O52" s="16" t="s">
        <v>1403</v>
      </c>
      <c r="P52" s="17" t="s">
        <v>1404</v>
      </c>
      <c r="Q52" s="16" t="str">
        <f t="shared" ref="Q52:Q53" si="9">E52</f>
        <v>62-MUM-SSS</v>
      </c>
      <c r="R52" s="16" t="str">
        <f t="shared" si="3"/>
        <v>SSS</v>
      </c>
      <c r="S52" s="18" t="s">
        <v>1400</v>
      </c>
    </row>
    <row r="53" spans="1:19" x14ac:dyDescent="0.3">
      <c r="A53" s="12" t="s">
        <v>1399</v>
      </c>
      <c r="B53" s="13" t="s">
        <v>1400</v>
      </c>
      <c r="C53" s="5" t="s">
        <v>833</v>
      </c>
      <c r="D53" s="5" t="s">
        <v>255</v>
      </c>
      <c r="E53" s="5" t="s">
        <v>213</v>
      </c>
      <c r="F53" s="5" t="s">
        <v>224</v>
      </c>
      <c r="G53" s="14" t="s">
        <v>1401</v>
      </c>
      <c r="H53" s="14" t="s">
        <v>1405</v>
      </c>
      <c r="I53" s="5">
        <v>225</v>
      </c>
      <c r="J53" s="5" t="s">
        <v>845</v>
      </c>
      <c r="K53" s="5" t="s">
        <v>708</v>
      </c>
      <c r="L53" s="16">
        <v>80003</v>
      </c>
      <c r="M53" s="16" t="str">
        <f t="shared" si="7"/>
        <v>80003-62-MUM-SSS</v>
      </c>
      <c r="N53" s="16" t="str">
        <f t="shared" si="8"/>
        <v>Misc BOSE/UDITENDU MR-SG0320-AUG-26-06-05-2026-Kolkata-New Delhi</v>
      </c>
      <c r="O53" s="16" t="s">
        <v>1403</v>
      </c>
      <c r="P53" s="17" t="s">
        <v>1404</v>
      </c>
      <c r="Q53" s="16" t="str">
        <f t="shared" si="9"/>
        <v>62-MUM-SSS</v>
      </c>
      <c r="R53" s="16" t="str">
        <f t="shared" si="3"/>
        <v>SSS</v>
      </c>
      <c r="S53" s="18" t="s">
        <v>1400</v>
      </c>
    </row>
    <row r="54" spans="1:19" x14ac:dyDescent="0.3">
      <c r="A54" s="12" t="s">
        <v>1399</v>
      </c>
      <c r="B54" s="13" t="s">
        <v>1400</v>
      </c>
      <c r="C54" s="5" t="s">
        <v>885</v>
      </c>
      <c r="D54" s="5" t="s">
        <v>887</v>
      </c>
      <c r="E54" s="5" t="s">
        <v>213</v>
      </c>
      <c r="F54" s="5" t="s">
        <v>886</v>
      </c>
      <c r="G54" s="14" t="s">
        <v>1406</v>
      </c>
      <c r="H54" s="14" t="s">
        <v>1407</v>
      </c>
      <c r="I54" s="5">
        <v>1462</v>
      </c>
      <c r="J54" s="5" t="s">
        <v>884</v>
      </c>
      <c r="K54" s="5" t="s">
        <v>92</v>
      </c>
      <c r="L54" s="16">
        <v>80003</v>
      </c>
      <c r="M54" s="16" t="str">
        <f t="shared" ref="M54" si="10">CONCATENATE(L54,"-",E54)</f>
        <v>80003-62-MUM-SSS</v>
      </c>
      <c r="N54" s="16" t="str">
        <f t="shared" ref="N54" si="11">CONCATENATE(H54," ",C54,"-",F54,"-",B54,"-",P54,"-",D54)</f>
        <v>Railticket MR. PREETISH GUPTA-SG0516-AUG-26-06-05-2026-BORIVALI - BVI-GANDHINAGAR CAP - GNC</v>
      </c>
      <c r="O54" s="16" t="s">
        <v>1403</v>
      </c>
      <c r="P54" s="17" t="s">
        <v>1404</v>
      </c>
      <c r="Q54" s="16" t="str">
        <f t="shared" ref="Q54" si="12">E54</f>
        <v>62-MUM-SSS</v>
      </c>
      <c r="R54" s="16" t="str">
        <f t="shared" si="3"/>
        <v>SSS</v>
      </c>
      <c r="S54" s="18" t="s">
        <v>1400</v>
      </c>
    </row>
    <row r="55" spans="1:19" x14ac:dyDescent="0.3">
      <c r="A55" s="12" t="s">
        <v>1399</v>
      </c>
      <c r="B55" s="13" t="s">
        <v>1400</v>
      </c>
      <c r="C55" s="5" t="s">
        <v>777</v>
      </c>
      <c r="D55" s="5" t="s">
        <v>900</v>
      </c>
      <c r="E55" s="5" t="s">
        <v>339</v>
      </c>
      <c r="F55" s="5" t="s">
        <v>778</v>
      </c>
      <c r="G55" s="14" t="s">
        <v>1406</v>
      </c>
      <c r="H55" s="14" t="s">
        <v>1407</v>
      </c>
      <c r="I55" s="5">
        <v>1193</v>
      </c>
      <c r="J55" s="5" t="s">
        <v>899</v>
      </c>
      <c r="K55" s="5" t="s">
        <v>114</v>
      </c>
      <c r="L55" s="16">
        <v>80003</v>
      </c>
      <c r="M55" s="16" t="str">
        <f t="shared" ref="M55:M67" si="13">CONCATENATE(L55,"-",E55)</f>
        <v>80003-61-MUM-USE</v>
      </c>
      <c r="N55" s="16" t="str">
        <f t="shared" ref="N55:N67" si="14">CONCATENATE(H55," ",C55,"-",F55,"-",B55,"-",P55,"-",D55)</f>
        <v>Railticket MR. NAKUL JOSHI-T15226-AUG-26-06-05-2026-MUMBAI CENTRAL - MMCT-VADODARA JN - BRC</v>
      </c>
      <c r="O55" s="16" t="s">
        <v>1403</v>
      </c>
      <c r="P55" s="17" t="s">
        <v>1404</v>
      </c>
      <c r="Q55" s="16" t="str">
        <f t="shared" ref="Q55:Q67" si="15">E55</f>
        <v>61-MUM-USE</v>
      </c>
      <c r="R55" s="16" t="str">
        <f t="shared" si="3"/>
        <v>USE</v>
      </c>
      <c r="S55" s="18" t="s">
        <v>1400</v>
      </c>
    </row>
    <row r="56" spans="1:19" x14ac:dyDescent="0.3">
      <c r="A56" s="12" t="s">
        <v>1399</v>
      </c>
      <c r="B56" s="13" t="s">
        <v>1400</v>
      </c>
      <c r="C56" s="5" t="s">
        <v>909</v>
      </c>
      <c r="D56" s="5" t="s">
        <v>912</v>
      </c>
      <c r="E56" s="5" t="s">
        <v>911</v>
      </c>
      <c r="F56" s="5" t="s">
        <v>910</v>
      </c>
      <c r="G56" s="14" t="s">
        <v>1406</v>
      </c>
      <c r="H56" s="14" t="s">
        <v>1407</v>
      </c>
      <c r="I56" s="5">
        <v>1027</v>
      </c>
      <c r="J56" s="5" t="s">
        <v>908</v>
      </c>
      <c r="K56" s="5" t="s">
        <v>114</v>
      </c>
      <c r="L56" s="16">
        <v>80003</v>
      </c>
      <c r="M56" s="16" t="str">
        <f t="shared" si="13"/>
        <v>80003-62-MUM-USP</v>
      </c>
      <c r="N56" s="16" t="str">
        <f t="shared" si="14"/>
        <v>Railticket MR. MALLA HARI KRISHNA NA-T14999-AUG-26-06-05-2026-VIJAYAWADA JN - BZA-ANANTAPUR - ATP</v>
      </c>
      <c r="O56" s="16" t="s">
        <v>1403</v>
      </c>
      <c r="P56" s="17" t="s">
        <v>1404</v>
      </c>
      <c r="Q56" s="16" t="str">
        <f t="shared" si="15"/>
        <v>62-MUM-USP</v>
      </c>
      <c r="R56" s="16" t="str">
        <f t="shared" si="3"/>
        <v>USP</v>
      </c>
      <c r="S56" s="18" t="s">
        <v>1400</v>
      </c>
    </row>
    <row r="57" spans="1:19" x14ac:dyDescent="0.3">
      <c r="A57" s="12" t="s">
        <v>1399</v>
      </c>
      <c r="B57" s="13" t="s">
        <v>1400</v>
      </c>
      <c r="C57" s="5" t="s">
        <v>909</v>
      </c>
      <c r="D57" s="5" t="s">
        <v>923</v>
      </c>
      <c r="E57" s="5" t="s">
        <v>911</v>
      </c>
      <c r="F57" s="5" t="s">
        <v>910</v>
      </c>
      <c r="G57" s="14" t="s">
        <v>1406</v>
      </c>
      <c r="H57" s="14" t="s">
        <v>1407</v>
      </c>
      <c r="I57" s="5">
        <v>219</v>
      </c>
      <c r="J57" s="5" t="s">
        <v>922</v>
      </c>
      <c r="K57" s="5" t="s">
        <v>114</v>
      </c>
      <c r="L57" s="16">
        <v>80003</v>
      </c>
      <c r="M57" s="16" t="str">
        <f t="shared" si="13"/>
        <v>80003-62-MUM-USP</v>
      </c>
      <c r="N57" s="16" t="str">
        <f t="shared" si="14"/>
        <v>Railticket MR. MALLA HARI KRISHNA NA-T14999-AUG-26-06-05-2026-VISHAKAPATNAM - VSKP-VIJAYAWADA JN - BZA</v>
      </c>
      <c r="O57" s="16" t="s">
        <v>1403</v>
      </c>
      <c r="P57" s="17" t="s">
        <v>1404</v>
      </c>
      <c r="Q57" s="16" t="str">
        <f t="shared" si="15"/>
        <v>62-MUM-USP</v>
      </c>
      <c r="R57" s="16" t="str">
        <f t="shared" si="3"/>
        <v>USP</v>
      </c>
      <c r="S57" s="18" t="s">
        <v>1400</v>
      </c>
    </row>
    <row r="58" spans="1:19" x14ac:dyDescent="0.3">
      <c r="A58" s="12" t="s">
        <v>1399</v>
      </c>
      <c r="B58" s="13" t="s">
        <v>1400</v>
      </c>
      <c r="C58" s="5" t="s">
        <v>909</v>
      </c>
      <c r="D58" s="5" t="s">
        <v>933</v>
      </c>
      <c r="E58" s="5" t="s">
        <v>911</v>
      </c>
      <c r="F58" s="5" t="s">
        <v>910</v>
      </c>
      <c r="G58" s="14" t="s">
        <v>1406</v>
      </c>
      <c r="H58" s="14" t="s">
        <v>1407</v>
      </c>
      <c r="I58" s="5">
        <v>645</v>
      </c>
      <c r="J58" s="5" t="s">
        <v>932</v>
      </c>
      <c r="K58" s="5" t="s">
        <v>114</v>
      </c>
      <c r="L58" s="16">
        <v>80003</v>
      </c>
      <c r="M58" s="16" t="str">
        <f t="shared" si="13"/>
        <v>80003-62-MUM-USP</v>
      </c>
      <c r="N58" s="16" t="str">
        <f t="shared" si="14"/>
        <v>Railticket MR. MALLA HARI KRISHNA NA-T14999-AUG-26-06-05-2026-NELLORE - NLR-VIJAYAWADA JN - BZA</v>
      </c>
      <c r="O58" s="16" t="s">
        <v>1403</v>
      </c>
      <c r="P58" s="17" t="s">
        <v>1404</v>
      </c>
      <c r="Q58" s="16" t="str">
        <f t="shared" si="15"/>
        <v>62-MUM-USP</v>
      </c>
      <c r="R58" s="16" t="str">
        <f t="shared" si="3"/>
        <v>USP</v>
      </c>
      <c r="S58" s="18" t="s">
        <v>1400</v>
      </c>
    </row>
    <row r="59" spans="1:19" x14ac:dyDescent="0.3">
      <c r="A59" s="12" t="s">
        <v>1399</v>
      </c>
      <c r="B59" s="13" t="s">
        <v>1400</v>
      </c>
      <c r="C59" s="5" t="s">
        <v>337</v>
      </c>
      <c r="D59" s="5" t="s">
        <v>946</v>
      </c>
      <c r="E59" s="5" t="s">
        <v>339</v>
      </c>
      <c r="F59" s="5" t="s">
        <v>338</v>
      </c>
      <c r="G59" s="14" t="s">
        <v>1406</v>
      </c>
      <c r="H59" s="14" t="s">
        <v>1407</v>
      </c>
      <c r="I59" s="5">
        <v>1411</v>
      </c>
      <c r="J59" s="5" t="s">
        <v>945</v>
      </c>
      <c r="K59" s="5" t="s">
        <v>293</v>
      </c>
      <c r="L59" s="16">
        <v>80003</v>
      </c>
      <c r="M59" s="16" t="str">
        <f t="shared" si="13"/>
        <v>80003-61-MUM-USE</v>
      </c>
      <c r="N59" s="16" t="str">
        <f t="shared" si="14"/>
        <v>Railticket MR. ASHUTOSH DUBEY-T17010-AUG-26-06-05-2026-KAMAKHYA - KYQ-PATNA JN - PNBE</v>
      </c>
      <c r="O59" s="16" t="s">
        <v>1403</v>
      </c>
      <c r="P59" s="17" t="s">
        <v>1404</v>
      </c>
      <c r="Q59" s="16" t="str">
        <f t="shared" si="15"/>
        <v>61-MUM-USE</v>
      </c>
      <c r="R59" s="16" t="str">
        <f t="shared" si="3"/>
        <v>USE</v>
      </c>
      <c r="S59" s="18" t="s">
        <v>1400</v>
      </c>
    </row>
    <row r="60" spans="1:19" x14ac:dyDescent="0.3">
      <c r="A60" s="12" t="s">
        <v>1399</v>
      </c>
      <c r="B60" s="13" t="s">
        <v>1400</v>
      </c>
      <c r="C60" s="5" t="s">
        <v>960</v>
      </c>
      <c r="D60" s="5" t="s">
        <v>962</v>
      </c>
      <c r="E60" s="5" t="s">
        <v>213</v>
      </c>
      <c r="F60" s="5" t="s">
        <v>961</v>
      </c>
      <c r="G60" s="14" t="s">
        <v>1406</v>
      </c>
      <c r="H60" s="14" t="s">
        <v>1407</v>
      </c>
      <c r="I60" s="5">
        <v>932</v>
      </c>
      <c r="J60" s="5" t="s">
        <v>959</v>
      </c>
      <c r="K60" s="5" t="s">
        <v>436</v>
      </c>
      <c r="L60" s="16">
        <v>80003</v>
      </c>
      <c r="M60" s="16" t="str">
        <f t="shared" si="13"/>
        <v>80003-62-MUM-SSS</v>
      </c>
      <c r="N60" s="16" t="str">
        <f t="shared" si="14"/>
        <v>Railticket MR. ABHISHEK MATONDKAR-T17720-AUG-26-06-05-2026-BORIVALI - BVI-SURAT - ST</v>
      </c>
      <c r="O60" s="16" t="s">
        <v>1403</v>
      </c>
      <c r="P60" s="17" t="s">
        <v>1404</v>
      </c>
      <c r="Q60" s="16" t="str">
        <f t="shared" si="15"/>
        <v>62-MUM-SSS</v>
      </c>
      <c r="R60" s="16" t="str">
        <f t="shared" si="3"/>
        <v>SSS</v>
      </c>
      <c r="S60" s="18" t="s">
        <v>1400</v>
      </c>
    </row>
    <row r="61" spans="1:19" x14ac:dyDescent="0.3">
      <c r="A61" s="12" t="s">
        <v>1399</v>
      </c>
      <c r="B61" s="13" t="s">
        <v>1400</v>
      </c>
      <c r="C61" s="5" t="s">
        <v>777</v>
      </c>
      <c r="D61" s="5" t="s">
        <v>971</v>
      </c>
      <c r="E61" s="5" t="s">
        <v>339</v>
      </c>
      <c r="F61" s="5" t="s">
        <v>778</v>
      </c>
      <c r="G61" s="14" t="s">
        <v>1406</v>
      </c>
      <c r="H61" s="14" t="s">
        <v>1407</v>
      </c>
      <c r="I61" s="5">
        <v>1274</v>
      </c>
      <c r="J61" s="5" t="s">
        <v>970</v>
      </c>
      <c r="K61" s="5" t="s">
        <v>606</v>
      </c>
      <c r="L61" s="16">
        <v>80003</v>
      </c>
      <c r="M61" s="16" t="str">
        <f t="shared" si="13"/>
        <v>80003-61-MUM-USE</v>
      </c>
      <c r="N61" s="16" t="str">
        <f t="shared" si="14"/>
        <v>Railticket MR. NAKUL JOSHI-T15226-AUG-26-06-05-2026-MUMBAI CST (CSMT) - CSMT-C SAMBHAJINAGAR - CPSN</v>
      </c>
      <c r="O61" s="16" t="s">
        <v>1403</v>
      </c>
      <c r="P61" s="17" t="s">
        <v>1404</v>
      </c>
      <c r="Q61" s="16" t="str">
        <f t="shared" si="15"/>
        <v>61-MUM-USE</v>
      </c>
      <c r="R61" s="16" t="str">
        <f t="shared" si="3"/>
        <v>USE</v>
      </c>
      <c r="S61" s="18" t="s">
        <v>1400</v>
      </c>
    </row>
    <row r="62" spans="1:19" x14ac:dyDescent="0.3">
      <c r="A62" s="12" t="s">
        <v>1399</v>
      </c>
      <c r="B62" s="13" t="s">
        <v>1400</v>
      </c>
      <c r="C62" s="5" t="s">
        <v>777</v>
      </c>
      <c r="D62" s="5" t="s">
        <v>980</v>
      </c>
      <c r="E62" s="5" t="s">
        <v>339</v>
      </c>
      <c r="F62" s="5" t="s">
        <v>778</v>
      </c>
      <c r="G62" s="14" t="s">
        <v>1406</v>
      </c>
      <c r="H62" s="14" t="s">
        <v>1407</v>
      </c>
      <c r="I62" s="5">
        <v>1496</v>
      </c>
      <c r="J62" s="5" t="s">
        <v>979</v>
      </c>
      <c r="K62" s="5" t="s">
        <v>606</v>
      </c>
      <c r="L62" s="16">
        <v>80003</v>
      </c>
      <c r="M62" s="16" t="str">
        <f t="shared" si="13"/>
        <v>80003-61-MUM-USE</v>
      </c>
      <c r="N62" s="16" t="str">
        <f t="shared" si="14"/>
        <v>Railticket MR. NAKUL JOSHI-T15226-AUG-26-06-05-2026-AHMEDABAD JN - ADI-BORIVALI - BVI</v>
      </c>
      <c r="O62" s="16" t="s">
        <v>1403</v>
      </c>
      <c r="P62" s="17" t="s">
        <v>1404</v>
      </c>
      <c r="Q62" s="16" t="str">
        <f t="shared" si="15"/>
        <v>61-MUM-USE</v>
      </c>
      <c r="R62" s="16" t="str">
        <f t="shared" si="3"/>
        <v>USE</v>
      </c>
      <c r="S62" s="18" t="s">
        <v>1400</v>
      </c>
    </row>
    <row r="63" spans="1:19" x14ac:dyDescent="0.3">
      <c r="A63" s="12" t="s">
        <v>1399</v>
      </c>
      <c r="B63" s="13" t="s">
        <v>1400</v>
      </c>
      <c r="C63" s="5" t="s">
        <v>558</v>
      </c>
      <c r="D63" s="5" t="s">
        <v>989</v>
      </c>
      <c r="E63" s="5" t="s">
        <v>560</v>
      </c>
      <c r="F63" s="5" t="s">
        <v>559</v>
      </c>
      <c r="G63" s="14" t="s">
        <v>1406</v>
      </c>
      <c r="H63" s="14" t="s">
        <v>1407</v>
      </c>
      <c r="I63" s="5">
        <v>1013</v>
      </c>
      <c r="J63" s="5" t="s">
        <v>988</v>
      </c>
      <c r="K63" s="5" t="s">
        <v>631</v>
      </c>
      <c r="L63" s="16">
        <v>80003</v>
      </c>
      <c r="M63" s="16" t="str">
        <f t="shared" si="13"/>
        <v>80003-61-MUM-ASO</v>
      </c>
      <c r="N63" s="16" t="str">
        <f t="shared" si="14"/>
        <v>Railticket MRS. SRIMATHI R-SG0444-AUG-26-06-05-2026-JHANSI C B - JCO-AGRA CANTT - AGC</v>
      </c>
      <c r="O63" s="16" t="s">
        <v>1403</v>
      </c>
      <c r="P63" s="17" t="s">
        <v>1404</v>
      </c>
      <c r="Q63" s="16" t="str">
        <f t="shared" si="15"/>
        <v>61-MUM-ASO</v>
      </c>
      <c r="R63" s="16" t="str">
        <f t="shared" si="3"/>
        <v>ASO</v>
      </c>
      <c r="S63" s="18" t="s">
        <v>1400</v>
      </c>
    </row>
    <row r="64" spans="1:19" x14ac:dyDescent="0.3">
      <c r="A64" s="12" t="s">
        <v>1399</v>
      </c>
      <c r="B64" s="13" t="s">
        <v>1400</v>
      </c>
      <c r="C64" s="5" t="s">
        <v>777</v>
      </c>
      <c r="D64" s="5" t="s">
        <v>957</v>
      </c>
      <c r="E64" s="5" t="s">
        <v>339</v>
      </c>
      <c r="F64" s="5" t="s">
        <v>778</v>
      </c>
      <c r="G64" s="14" t="s">
        <v>1406</v>
      </c>
      <c r="H64" s="14" t="s">
        <v>1407</v>
      </c>
      <c r="I64" s="5">
        <v>1652</v>
      </c>
      <c r="J64" s="5" t="s">
        <v>997</v>
      </c>
      <c r="K64" s="5" t="s">
        <v>631</v>
      </c>
      <c r="L64" s="16">
        <v>80003</v>
      </c>
      <c r="M64" s="16" t="str">
        <f t="shared" si="13"/>
        <v>80003-61-MUM-USE</v>
      </c>
      <c r="N64" s="16" t="str">
        <f t="shared" si="14"/>
        <v>Railticket MR. NAKUL JOSHI-T15226-AUG-26-06-05-2026-C SAMBHAJINAGAR - CPSN-MUMBAI CST - CSMT</v>
      </c>
      <c r="O64" s="16" t="s">
        <v>1403</v>
      </c>
      <c r="P64" s="17" t="s">
        <v>1404</v>
      </c>
      <c r="Q64" s="16" t="str">
        <f t="shared" si="15"/>
        <v>61-MUM-USE</v>
      </c>
      <c r="R64" s="16" t="str">
        <f t="shared" si="3"/>
        <v>USE</v>
      </c>
      <c r="S64" s="18" t="s">
        <v>1400</v>
      </c>
    </row>
    <row r="65" spans="1:19" x14ac:dyDescent="0.3">
      <c r="A65" s="12" t="s">
        <v>1399</v>
      </c>
      <c r="B65" s="13" t="s">
        <v>1400</v>
      </c>
      <c r="C65" s="5" t="s">
        <v>1005</v>
      </c>
      <c r="D65" s="5" t="s">
        <v>1008</v>
      </c>
      <c r="E65" s="5" t="s">
        <v>1007</v>
      </c>
      <c r="F65" s="5" t="s">
        <v>1006</v>
      </c>
      <c r="G65" s="14" t="s">
        <v>1406</v>
      </c>
      <c r="H65" s="14" t="s">
        <v>1407</v>
      </c>
      <c r="I65" s="5">
        <v>1124</v>
      </c>
      <c r="J65" s="5" t="s">
        <v>1004</v>
      </c>
      <c r="K65" s="5" t="s">
        <v>677</v>
      </c>
      <c r="L65" s="16">
        <v>80003</v>
      </c>
      <c r="M65" s="16" t="str">
        <f t="shared" si="13"/>
        <v>80003-72-MUM-HBC</v>
      </c>
      <c r="N65" s="16" t="str">
        <f t="shared" si="14"/>
        <v>Railticket MR. BIPIN KUMAR TIWARI-T16960-AUG-26-06-05-2026-H NIZAMUDDIN - NZM-V LAKSHMIBAI - VGLJ</v>
      </c>
      <c r="O65" s="16" t="s">
        <v>1403</v>
      </c>
      <c r="P65" s="17" t="s">
        <v>1404</v>
      </c>
      <c r="Q65" s="16" t="str">
        <f t="shared" si="15"/>
        <v>72-MUM-HBC</v>
      </c>
      <c r="R65" s="16" t="str">
        <f t="shared" si="3"/>
        <v>HBC</v>
      </c>
      <c r="S65" s="18" t="s">
        <v>1400</v>
      </c>
    </row>
    <row r="66" spans="1:19" x14ac:dyDescent="0.3">
      <c r="A66" s="12" t="s">
        <v>1399</v>
      </c>
      <c r="B66" s="13" t="s">
        <v>1400</v>
      </c>
      <c r="C66" s="5" t="s">
        <v>1017</v>
      </c>
      <c r="D66" s="5" t="s">
        <v>1008</v>
      </c>
      <c r="E66" s="5" t="s">
        <v>339</v>
      </c>
      <c r="F66" s="5" t="s">
        <v>1018</v>
      </c>
      <c r="G66" s="14" t="s">
        <v>1406</v>
      </c>
      <c r="H66" s="14" t="s">
        <v>1407</v>
      </c>
      <c r="I66" s="5">
        <v>1124</v>
      </c>
      <c r="J66" s="5" t="s">
        <v>1016</v>
      </c>
      <c r="K66" s="5" t="s">
        <v>677</v>
      </c>
      <c r="L66" s="16">
        <v>80003</v>
      </c>
      <c r="M66" s="16" t="str">
        <f t="shared" si="13"/>
        <v>80003-61-MUM-USE</v>
      </c>
      <c r="N66" s="16" t="str">
        <f t="shared" si="14"/>
        <v>Railticket MR. SHUBHAM DUBEY-T15255-AUG-26-06-05-2026-H NIZAMUDDIN - NZM-V LAKSHMIBAI - VGLJ</v>
      </c>
      <c r="O66" s="16" t="s">
        <v>1403</v>
      </c>
      <c r="P66" s="17" t="s">
        <v>1404</v>
      </c>
      <c r="Q66" s="16" t="str">
        <f t="shared" si="15"/>
        <v>61-MUM-USE</v>
      </c>
      <c r="R66" s="16" t="str">
        <f t="shared" ref="R66:R107" si="16">RIGHT(Q66,3)</f>
        <v>USE</v>
      </c>
      <c r="S66" s="18" t="s">
        <v>1400</v>
      </c>
    </row>
    <row r="67" spans="1:19" x14ac:dyDescent="0.3">
      <c r="A67" s="12" t="s">
        <v>1399</v>
      </c>
      <c r="B67" s="13" t="s">
        <v>1400</v>
      </c>
      <c r="C67" s="5" t="s">
        <v>1005</v>
      </c>
      <c r="D67" s="5" t="s">
        <v>1023</v>
      </c>
      <c r="E67" s="5" t="s">
        <v>1007</v>
      </c>
      <c r="F67" s="5" t="s">
        <v>1006</v>
      </c>
      <c r="G67" s="14" t="s">
        <v>1406</v>
      </c>
      <c r="H67" s="14" t="s">
        <v>1407</v>
      </c>
      <c r="I67" s="5">
        <v>1329</v>
      </c>
      <c r="J67" s="5" t="s">
        <v>1022</v>
      </c>
      <c r="K67" s="5" t="s">
        <v>710</v>
      </c>
      <c r="L67" s="16">
        <v>80003</v>
      </c>
      <c r="M67" s="16" t="str">
        <f t="shared" si="13"/>
        <v>80003-72-MUM-HBC</v>
      </c>
      <c r="N67" s="16" t="str">
        <f t="shared" si="14"/>
        <v>Railticket MR. BIPIN KUMAR TIWARI-T16960-AUG-26-06-05-2026-V LAKSHMIBAI - VGLJ-H NIZAMUDDIN - NZM</v>
      </c>
      <c r="O67" s="16" t="s">
        <v>1403</v>
      </c>
      <c r="P67" s="17" t="s">
        <v>1404</v>
      </c>
      <c r="Q67" s="16" t="str">
        <f t="shared" si="15"/>
        <v>72-MUM-HBC</v>
      </c>
      <c r="R67" s="16" t="str">
        <f t="shared" si="16"/>
        <v>HBC</v>
      </c>
      <c r="S67" s="18" t="s">
        <v>1400</v>
      </c>
    </row>
    <row r="68" spans="1:19" x14ac:dyDescent="0.3">
      <c r="A68" s="12" t="s">
        <v>1399</v>
      </c>
      <c r="B68" s="13" t="s">
        <v>1400</v>
      </c>
      <c r="C68" s="5" t="s">
        <v>731</v>
      </c>
      <c r="D68" s="5" t="s">
        <v>1047</v>
      </c>
      <c r="E68" s="5" t="s">
        <v>627</v>
      </c>
      <c r="F68" s="5" t="s">
        <v>732</v>
      </c>
      <c r="G68" s="14" t="s">
        <v>1408</v>
      </c>
      <c r="H68" s="14" t="s">
        <v>1412</v>
      </c>
      <c r="I68" s="5">
        <v>1470</v>
      </c>
      <c r="J68" s="5" t="s">
        <v>1044</v>
      </c>
      <c r="K68" s="5" t="s">
        <v>850</v>
      </c>
      <c r="L68" s="16">
        <v>80003</v>
      </c>
      <c r="M68" s="16" t="str">
        <f t="shared" ref="M68" si="17">CONCATENATE(L68,"-",E68)</f>
        <v>80003-64-BAN-CSS</v>
      </c>
      <c r="N68" s="16" t="str">
        <f t="shared" ref="N68" si="18">CONCATENATE(H68," ",C68,"-",F68,"-",B68,"-",P68,"-",D68)</f>
        <v>Bus MR. VARUN MAHESHWARI-T15657-AUG-26-06-05-2026-Baroda - Pune</v>
      </c>
      <c r="O68" s="16" t="s">
        <v>1403</v>
      </c>
      <c r="P68" s="17" t="s">
        <v>1404</v>
      </c>
      <c r="Q68" s="16" t="str">
        <f t="shared" ref="Q68" si="19">E68</f>
        <v>64-BAN-CSS</v>
      </c>
      <c r="R68" s="16" t="str">
        <f t="shared" si="16"/>
        <v>CSS</v>
      </c>
      <c r="S68" s="18" t="s">
        <v>1400</v>
      </c>
    </row>
    <row r="69" spans="1:19" x14ac:dyDescent="0.3">
      <c r="A69" s="12" t="s">
        <v>1399</v>
      </c>
      <c r="B69" s="13" t="s">
        <v>1400</v>
      </c>
      <c r="C69" s="5" t="s">
        <v>1119</v>
      </c>
      <c r="D69" s="5" t="s">
        <v>630</v>
      </c>
      <c r="E69" s="5" t="s">
        <v>911</v>
      </c>
      <c r="F69" s="5" t="s">
        <v>910</v>
      </c>
      <c r="G69" s="14" t="s">
        <v>1413</v>
      </c>
      <c r="H69" s="14" t="s">
        <v>1409</v>
      </c>
      <c r="I69" s="5">
        <v>1667</v>
      </c>
      <c r="J69" s="5" t="s">
        <v>1117</v>
      </c>
      <c r="K69" s="5" t="s">
        <v>1113</v>
      </c>
      <c r="L69" s="16">
        <v>80003</v>
      </c>
      <c r="M69" s="16" t="str">
        <f t="shared" ref="M69" si="20">CONCATENATE(L69,"-",E69)</f>
        <v>80003-62-MUM-USP</v>
      </c>
      <c r="N69" s="16" t="str">
        <f t="shared" ref="N69" si="21">CONCATENATE(H69," ",C69,"-",F69,"-",B69,"-",P69,"-",D69)</f>
        <v>Debit Mr. Malla Hari Krishna Na-T14999-AUG-26-06-05-2026-Andhra Pradesh</v>
      </c>
      <c r="O69" s="16" t="s">
        <v>1403</v>
      </c>
      <c r="P69" s="17" t="s">
        <v>1404</v>
      </c>
      <c r="Q69" s="16" t="str">
        <f t="shared" ref="Q69" si="22">E69</f>
        <v>62-MUM-USP</v>
      </c>
      <c r="R69" s="16" t="str">
        <f t="shared" si="16"/>
        <v>USP</v>
      </c>
      <c r="S69" s="18" t="s">
        <v>1400</v>
      </c>
    </row>
    <row r="70" spans="1:19" x14ac:dyDescent="0.3">
      <c r="A70" s="12" t="s">
        <v>1399</v>
      </c>
      <c r="B70" s="13" t="s">
        <v>1400</v>
      </c>
      <c r="C70" s="5" t="s">
        <v>1126</v>
      </c>
      <c r="D70" s="5" t="s">
        <v>262</v>
      </c>
      <c r="E70" s="5" t="s">
        <v>313</v>
      </c>
      <c r="F70" s="5" t="s">
        <v>312</v>
      </c>
      <c r="G70" s="14" t="s">
        <v>1413</v>
      </c>
      <c r="H70" s="14" t="s">
        <v>1409</v>
      </c>
      <c r="I70" s="5">
        <v>12587</v>
      </c>
      <c r="J70" s="5" t="s">
        <v>1124</v>
      </c>
      <c r="K70" s="5" t="s">
        <v>1113</v>
      </c>
      <c r="L70" s="16">
        <v>80003</v>
      </c>
      <c r="M70" s="16" t="str">
        <f t="shared" ref="M70:M93" si="23">CONCATENATE(L70,"-",E70)</f>
        <v>80003-67-MUM-ELO</v>
      </c>
      <c r="N70" s="16" t="str">
        <f t="shared" ref="N70:N93" si="24">CONCATENATE(H70," ",C70,"-",F70,"-",B70,"-",P70,"-",D70)</f>
        <v>Debit Mr. Roshan Deepak Pinto-T11294-AUG-26-06-05-2026-Uttar Pradesh</v>
      </c>
      <c r="O70" s="16" t="s">
        <v>1403</v>
      </c>
      <c r="P70" s="17" t="s">
        <v>1404</v>
      </c>
      <c r="Q70" s="16" t="str">
        <f t="shared" ref="Q70:Q93" si="25">E70</f>
        <v>67-MUM-ELO</v>
      </c>
      <c r="R70" s="16" t="str">
        <f t="shared" si="16"/>
        <v>ELO</v>
      </c>
      <c r="S70" s="18" t="s">
        <v>1400</v>
      </c>
    </row>
    <row r="71" spans="1:19" x14ac:dyDescent="0.3">
      <c r="A71" s="12" t="s">
        <v>1399</v>
      </c>
      <c r="B71" s="13" t="s">
        <v>1400</v>
      </c>
      <c r="C71" s="5" t="s">
        <v>1135</v>
      </c>
      <c r="D71" s="5" t="s">
        <v>1138</v>
      </c>
      <c r="E71" s="5" t="s">
        <v>339</v>
      </c>
      <c r="F71" s="5" t="s">
        <v>338</v>
      </c>
      <c r="G71" s="14" t="s">
        <v>1413</v>
      </c>
      <c r="H71" s="14" t="s">
        <v>1409</v>
      </c>
      <c r="I71" s="5">
        <v>3964</v>
      </c>
      <c r="J71" s="5" t="s">
        <v>1133</v>
      </c>
      <c r="K71" s="5" t="s">
        <v>831</v>
      </c>
      <c r="L71" s="16">
        <v>80003</v>
      </c>
      <c r="M71" s="16" t="str">
        <f t="shared" si="23"/>
        <v>80003-61-MUM-USE</v>
      </c>
      <c r="N71" s="16" t="str">
        <f t="shared" si="24"/>
        <v>Debit Mr. Ashutosh Dubey-T17010-AUG-26-06-05-2026-Assam</v>
      </c>
      <c r="O71" s="16" t="s">
        <v>1403</v>
      </c>
      <c r="P71" s="17" t="s">
        <v>1404</v>
      </c>
      <c r="Q71" s="16" t="str">
        <f t="shared" si="25"/>
        <v>61-MUM-USE</v>
      </c>
      <c r="R71" s="16" t="str">
        <f t="shared" si="16"/>
        <v>USE</v>
      </c>
      <c r="S71" s="18" t="s">
        <v>1400</v>
      </c>
    </row>
    <row r="72" spans="1:19" x14ac:dyDescent="0.3">
      <c r="A72" s="12" t="s">
        <v>1399</v>
      </c>
      <c r="B72" s="13" t="s">
        <v>1400</v>
      </c>
      <c r="C72" s="5" t="s">
        <v>1144</v>
      </c>
      <c r="D72" s="5" t="s">
        <v>630</v>
      </c>
      <c r="E72" s="5" t="s">
        <v>358</v>
      </c>
      <c r="F72" s="5" t="s">
        <v>357</v>
      </c>
      <c r="G72" s="14" t="s">
        <v>1413</v>
      </c>
      <c r="H72" s="14" t="s">
        <v>1409</v>
      </c>
      <c r="I72" s="5">
        <v>7182</v>
      </c>
      <c r="J72" s="5" t="s">
        <v>1142</v>
      </c>
      <c r="K72" s="5" t="s">
        <v>831</v>
      </c>
      <c r="L72" s="16">
        <v>80003</v>
      </c>
      <c r="M72" s="16" t="str">
        <f t="shared" si="23"/>
        <v>80003-69-MUM-PBP</v>
      </c>
      <c r="N72" s="16" t="str">
        <f t="shared" si="24"/>
        <v>Debit Mr. Aayush Lal-T16161-AUG-26-06-05-2026-Andhra Pradesh</v>
      </c>
      <c r="O72" s="16" t="s">
        <v>1403</v>
      </c>
      <c r="P72" s="17" t="s">
        <v>1404</v>
      </c>
      <c r="Q72" s="16" t="str">
        <f t="shared" si="25"/>
        <v>69-MUM-PBP</v>
      </c>
      <c r="R72" s="16" t="str">
        <f t="shared" si="16"/>
        <v>PBP</v>
      </c>
      <c r="S72" s="18" t="s">
        <v>1400</v>
      </c>
    </row>
    <row r="73" spans="1:19" x14ac:dyDescent="0.3">
      <c r="A73" s="12" t="s">
        <v>1399</v>
      </c>
      <c r="B73" s="13" t="s">
        <v>1400</v>
      </c>
      <c r="C73" s="5" t="s">
        <v>1150</v>
      </c>
      <c r="D73" s="5" t="s">
        <v>108</v>
      </c>
      <c r="E73" s="5" t="s">
        <v>213</v>
      </c>
      <c r="F73" s="5" t="s">
        <v>886</v>
      </c>
      <c r="G73" s="14" t="s">
        <v>1413</v>
      </c>
      <c r="H73" s="14" t="s">
        <v>1409</v>
      </c>
      <c r="I73" s="5">
        <v>12523</v>
      </c>
      <c r="J73" s="5" t="s">
        <v>1148</v>
      </c>
      <c r="K73" s="5" t="s">
        <v>831</v>
      </c>
      <c r="L73" s="16">
        <v>80003</v>
      </c>
      <c r="M73" s="16" t="str">
        <f t="shared" si="23"/>
        <v>80003-62-MUM-SSS</v>
      </c>
      <c r="N73" s="16" t="str">
        <f t="shared" si="24"/>
        <v>Debit Mr. Preetish Gupta-SG0516-AUG-26-06-05-2026-Karnataka</v>
      </c>
      <c r="O73" s="16" t="s">
        <v>1403</v>
      </c>
      <c r="P73" s="17" t="s">
        <v>1404</v>
      </c>
      <c r="Q73" s="16" t="str">
        <f t="shared" si="25"/>
        <v>62-MUM-SSS</v>
      </c>
      <c r="R73" s="16" t="str">
        <f t="shared" si="16"/>
        <v>SSS</v>
      </c>
      <c r="S73" s="18" t="s">
        <v>1400</v>
      </c>
    </row>
    <row r="74" spans="1:19" x14ac:dyDescent="0.3">
      <c r="A74" s="12" t="s">
        <v>1399</v>
      </c>
      <c r="B74" s="13" t="s">
        <v>1400</v>
      </c>
      <c r="C74" s="5" t="s">
        <v>1126</v>
      </c>
      <c r="D74" s="5" t="s">
        <v>630</v>
      </c>
      <c r="E74" s="5" t="s">
        <v>313</v>
      </c>
      <c r="F74" s="5" t="s">
        <v>312</v>
      </c>
      <c r="G74" s="14" t="s">
        <v>1413</v>
      </c>
      <c r="H74" s="14" t="s">
        <v>1409</v>
      </c>
      <c r="I74" s="5">
        <v>8636</v>
      </c>
      <c r="J74" s="5" t="s">
        <v>1158</v>
      </c>
      <c r="K74" s="5" t="s">
        <v>820</v>
      </c>
      <c r="L74" s="16">
        <v>80003</v>
      </c>
      <c r="M74" s="16" t="str">
        <f t="shared" si="23"/>
        <v>80003-67-MUM-ELO</v>
      </c>
      <c r="N74" s="16" t="str">
        <f t="shared" si="24"/>
        <v>Debit Mr. Roshan Deepak Pinto-T11294-AUG-26-06-05-2026-Andhra Pradesh</v>
      </c>
      <c r="O74" s="16" t="s">
        <v>1403</v>
      </c>
      <c r="P74" s="17" t="s">
        <v>1404</v>
      </c>
      <c r="Q74" s="16" t="str">
        <f t="shared" si="25"/>
        <v>67-MUM-ELO</v>
      </c>
      <c r="R74" s="16" t="str">
        <f t="shared" si="16"/>
        <v>ELO</v>
      </c>
      <c r="S74" s="18" t="s">
        <v>1400</v>
      </c>
    </row>
    <row r="75" spans="1:19" x14ac:dyDescent="0.3">
      <c r="A75" s="12" t="s">
        <v>1399</v>
      </c>
      <c r="B75" s="13" t="s">
        <v>1400</v>
      </c>
      <c r="C75" s="5" t="s">
        <v>1167</v>
      </c>
      <c r="D75" s="5" t="s">
        <v>108</v>
      </c>
      <c r="E75" s="5" t="s">
        <v>503</v>
      </c>
      <c r="F75" s="5" t="s">
        <v>502</v>
      </c>
      <c r="G75" s="14" t="s">
        <v>1413</v>
      </c>
      <c r="H75" s="14" t="s">
        <v>1409</v>
      </c>
      <c r="I75" s="5">
        <v>14669</v>
      </c>
      <c r="J75" s="5" t="s">
        <v>1165</v>
      </c>
      <c r="K75" s="5" t="s">
        <v>843</v>
      </c>
      <c r="L75" s="16">
        <v>80003</v>
      </c>
      <c r="M75" s="16" t="str">
        <f t="shared" si="23"/>
        <v>80003-69-MUM-PBD</v>
      </c>
      <c r="N75" s="16" t="str">
        <f t="shared" si="24"/>
        <v>Debit Ms. Shrutika Sharma-T16151-AUG-26-06-05-2026-Karnataka</v>
      </c>
      <c r="O75" s="16" t="s">
        <v>1403</v>
      </c>
      <c r="P75" s="17" t="s">
        <v>1404</v>
      </c>
      <c r="Q75" s="16" t="str">
        <f t="shared" si="25"/>
        <v>69-MUM-PBD</v>
      </c>
      <c r="R75" s="16" t="str">
        <f t="shared" si="16"/>
        <v>PBD</v>
      </c>
      <c r="S75" s="18" t="s">
        <v>1400</v>
      </c>
    </row>
    <row r="76" spans="1:19" x14ac:dyDescent="0.3">
      <c r="A76" s="12" t="s">
        <v>1399</v>
      </c>
      <c r="B76" s="13" t="s">
        <v>1400</v>
      </c>
      <c r="C76" s="5" t="s">
        <v>1181</v>
      </c>
      <c r="D76" s="5" t="s">
        <v>630</v>
      </c>
      <c r="E76" s="5" t="s">
        <v>586</v>
      </c>
      <c r="F76" s="5" t="s">
        <v>585</v>
      </c>
      <c r="G76" s="14" t="s">
        <v>1413</v>
      </c>
      <c r="H76" s="14" t="s">
        <v>1409</v>
      </c>
      <c r="I76" s="5">
        <v>13755</v>
      </c>
      <c r="J76" s="5" t="s">
        <v>1179</v>
      </c>
      <c r="K76" s="5" t="s">
        <v>827</v>
      </c>
      <c r="L76" s="16">
        <v>80003</v>
      </c>
      <c r="M76" s="16" t="str">
        <f t="shared" si="23"/>
        <v>80003-62-MUM-PBO</v>
      </c>
      <c r="N76" s="16" t="str">
        <f t="shared" si="24"/>
        <v>Debit Mr. Prathamesh Jadhav-T16692-AUG-26-06-05-2026-Andhra Pradesh</v>
      </c>
      <c r="O76" s="16" t="s">
        <v>1403</v>
      </c>
      <c r="P76" s="17" t="s">
        <v>1404</v>
      </c>
      <c r="Q76" s="16" t="str">
        <f t="shared" si="25"/>
        <v>62-MUM-PBO</v>
      </c>
      <c r="R76" s="16" t="str">
        <f t="shared" si="16"/>
        <v>PBO</v>
      </c>
      <c r="S76" s="18" t="s">
        <v>1400</v>
      </c>
    </row>
    <row r="77" spans="1:19" x14ac:dyDescent="0.3">
      <c r="A77" s="12" t="s">
        <v>1399</v>
      </c>
      <c r="B77" s="13" t="s">
        <v>1400</v>
      </c>
      <c r="C77" s="5" t="s">
        <v>1191</v>
      </c>
      <c r="D77" s="5" t="s">
        <v>262</v>
      </c>
      <c r="E77" s="5" t="s">
        <v>560</v>
      </c>
      <c r="F77" s="5" t="s">
        <v>559</v>
      </c>
      <c r="G77" s="14" t="s">
        <v>1413</v>
      </c>
      <c r="H77" s="14" t="s">
        <v>1409</v>
      </c>
      <c r="I77" s="5">
        <v>8081</v>
      </c>
      <c r="J77" s="5" t="s">
        <v>1189</v>
      </c>
      <c r="K77" s="5" t="s">
        <v>1040</v>
      </c>
      <c r="L77" s="16">
        <v>80003</v>
      </c>
      <c r="M77" s="16" t="str">
        <f t="shared" si="23"/>
        <v>80003-61-MUM-ASO</v>
      </c>
      <c r="N77" s="16" t="str">
        <f t="shared" si="24"/>
        <v>Debit Mrs. Srimathi R-SG0444-AUG-26-06-05-2026-Uttar Pradesh</v>
      </c>
      <c r="O77" s="16" t="s">
        <v>1403</v>
      </c>
      <c r="P77" s="17" t="s">
        <v>1404</v>
      </c>
      <c r="Q77" s="16" t="str">
        <f t="shared" si="25"/>
        <v>61-MUM-ASO</v>
      </c>
      <c r="R77" s="16" t="str">
        <f t="shared" si="16"/>
        <v>ASO</v>
      </c>
      <c r="S77" s="18" t="s">
        <v>1400</v>
      </c>
    </row>
    <row r="78" spans="1:19" x14ac:dyDescent="0.3">
      <c r="A78" s="12" t="s">
        <v>1399</v>
      </c>
      <c r="B78" s="13" t="s">
        <v>1400</v>
      </c>
      <c r="C78" s="5" t="s">
        <v>1199</v>
      </c>
      <c r="D78" s="5" t="s">
        <v>1104</v>
      </c>
      <c r="E78" s="5" t="s">
        <v>339</v>
      </c>
      <c r="F78" s="5" t="s">
        <v>1018</v>
      </c>
      <c r="G78" s="14" t="s">
        <v>1413</v>
      </c>
      <c r="H78" s="14" t="s">
        <v>1409</v>
      </c>
      <c r="I78" s="5">
        <v>3481</v>
      </c>
      <c r="J78" s="5" t="s">
        <v>1197</v>
      </c>
      <c r="K78" s="5" t="s">
        <v>1040</v>
      </c>
      <c r="L78" s="16">
        <v>80003</v>
      </c>
      <c r="M78" s="16" t="str">
        <f t="shared" si="23"/>
        <v>80003-61-MUM-USE</v>
      </c>
      <c r="N78" s="16" t="str">
        <f t="shared" si="24"/>
        <v>Debit Mr. Shubham Dubey-T15255-AUG-26-06-05-2026-Uttarakhand</v>
      </c>
      <c r="O78" s="16" t="s">
        <v>1403</v>
      </c>
      <c r="P78" s="17" t="s">
        <v>1404</v>
      </c>
      <c r="Q78" s="16" t="str">
        <f t="shared" si="25"/>
        <v>61-MUM-USE</v>
      </c>
      <c r="R78" s="16" t="str">
        <f t="shared" si="16"/>
        <v>USE</v>
      </c>
      <c r="S78" s="18" t="s">
        <v>1400</v>
      </c>
    </row>
    <row r="79" spans="1:19" x14ac:dyDescent="0.3">
      <c r="A79" s="12" t="s">
        <v>1399</v>
      </c>
      <c r="B79" s="13" t="s">
        <v>1400</v>
      </c>
      <c r="C79" s="5" t="s">
        <v>1206</v>
      </c>
      <c r="D79" s="5" t="s">
        <v>125</v>
      </c>
      <c r="E79" s="5" t="s">
        <v>339</v>
      </c>
      <c r="F79" s="5" t="s">
        <v>778</v>
      </c>
      <c r="G79" s="14" t="s">
        <v>1413</v>
      </c>
      <c r="H79" s="14" t="s">
        <v>1409</v>
      </c>
      <c r="I79" s="5">
        <v>4790</v>
      </c>
      <c r="J79" s="5" t="s">
        <v>1204</v>
      </c>
      <c r="K79" s="5" t="s">
        <v>1040</v>
      </c>
      <c r="L79" s="16">
        <v>80003</v>
      </c>
      <c r="M79" s="16" t="str">
        <f t="shared" si="23"/>
        <v>80003-61-MUM-USE</v>
      </c>
      <c r="N79" s="16" t="str">
        <f t="shared" si="24"/>
        <v>Debit Mr. Nakul Joshi-T15226-AUG-26-06-05-2026-Maharashtra</v>
      </c>
      <c r="O79" s="16" t="s">
        <v>1403</v>
      </c>
      <c r="P79" s="17" t="s">
        <v>1404</v>
      </c>
      <c r="Q79" s="16" t="str">
        <f t="shared" si="25"/>
        <v>61-MUM-USE</v>
      </c>
      <c r="R79" s="16" t="str">
        <f t="shared" si="16"/>
        <v>USE</v>
      </c>
      <c r="S79" s="18" t="s">
        <v>1400</v>
      </c>
    </row>
    <row r="80" spans="1:19" x14ac:dyDescent="0.3">
      <c r="A80" s="12" t="s">
        <v>1399</v>
      </c>
      <c r="B80" s="13" t="s">
        <v>1400</v>
      </c>
      <c r="C80" s="5" t="s">
        <v>1214</v>
      </c>
      <c r="D80" s="5" t="s">
        <v>251</v>
      </c>
      <c r="E80" s="5" t="s">
        <v>339</v>
      </c>
      <c r="F80" s="5" t="s">
        <v>608</v>
      </c>
      <c r="G80" s="14" t="s">
        <v>1413</v>
      </c>
      <c r="H80" s="14" t="s">
        <v>1409</v>
      </c>
      <c r="I80" s="5">
        <v>4745</v>
      </c>
      <c r="J80" s="5" t="s">
        <v>1212</v>
      </c>
      <c r="K80" s="5" t="s">
        <v>1042</v>
      </c>
      <c r="L80" s="16">
        <v>80003</v>
      </c>
      <c r="M80" s="16" t="str">
        <f t="shared" si="23"/>
        <v>80003-61-MUM-USE</v>
      </c>
      <c r="N80" s="16" t="str">
        <f t="shared" si="24"/>
        <v>Debit Ms. Deepti Deepti-T17404-AUG-26-06-05-2026-Rajasthan</v>
      </c>
      <c r="O80" s="16" t="s">
        <v>1403</v>
      </c>
      <c r="P80" s="17" t="s">
        <v>1404</v>
      </c>
      <c r="Q80" s="16" t="str">
        <f t="shared" si="25"/>
        <v>61-MUM-USE</v>
      </c>
      <c r="R80" s="16" t="str">
        <f t="shared" si="16"/>
        <v>USE</v>
      </c>
      <c r="S80" s="18" t="s">
        <v>1400</v>
      </c>
    </row>
    <row r="81" spans="1:19" x14ac:dyDescent="0.3">
      <c r="A81" s="12" t="s">
        <v>1399</v>
      </c>
      <c r="B81" s="13" t="s">
        <v>1400</v>
      </c>
      <c r="C81" s="5" t="s">
        <v>1221</v>
      </c>
      <c r="D81" s="5" t="s">
        <v>108</v>
      </c>
      <c r="E81" s="5" t="s">
        <v>339</v>
      </c>
      <c r="F81" s="5" t="s">
        <v>638</v>
      </c>
      <c r="G81" s="14" t="s">
        <v>1413</v>
      </c>
      <c r="H81" s="14" t="s">
        <v>1409</v>
      </c>
      <c r="I81" s="5">
        <v>3654</v>
      </c>
      <c r="J81" s="5" t="s">
        <v>1219</v>
      </c>
      <c r="K81" s="5" t="s">
        <v>844</v>
      </c>
      <c r="L81" s="16">
        <v>80003</v>
      </c>
      <c r="M81" s="16" t="str">
        <f t="shared" si="23"/>
        <v>80003-61-MUM-USE</v>
      </c>
      <c r="N81" s="16" t="str">
        <f t="shared" si="24"/>
        <v>Debit Mr. Khunjamayum David Singh-T17743-AUG-26-06-05-2026-Karnataka</v>
      </c>
      <c r="O81" s="16" t="s">
        <v>1403</v>
      </c>
      <c r="P81" s="17" t="s">
        <v>1404</v>
      </c>
      <c r="Q81" s="16" t="str">
        <f t="shared" si="25"/>
        <v>61-MUM-USE</v>
      </c>
      <c r="R81" s="16" t="str">
        <f t="shared" si="16"/>
        <v>USE</v>
      </c>
      <c r="S81" s="18" t="s">
        <v>1400</v>
      </c>
    </row>
    <row r="82" spans="1:19" x14ac:dyDescent="0.3">
      <c r="A82" s="12" t="s">
        <v>1399</v>
      </c>
      <c r="B82" s="13" t="s">
        <v>1400</v>
      </c>
      <c r="C82" s="5" t="s">
        <v>1229</v>
      </c>
      <c r="D82" s="5" t="s">
        <v>243</v>
      </c>
      <c r="E82" s="5" t="s">
        <v>911</v>
      </c>
      <c r="F82" s="5" t="s">
        <v>1228</v>
      </c>
      <c r="G82" s="14" t="s">
        <v>1413</v>
      </c>
      <c r="H82" s="14" t="s">
        <v>1409</v>
      </c>
      <c r="I82" s="5">
        <v>2331</v>
      </c>
      <c r="J82" s="5" t="s">
        <v>1226</v>
      </c>
      <c r="K82" s="5" t="s">
        <v>844</v>
      </c>
      <c r="L82" s="16">
        <v>80003</v>
      </c>
      <c r="M82" s="16" t="str">
        <f t="shared" si="23"/>
        <v>80003-62-MUM-USP</v>
      </c>
      <c r="N82" s="16" t="str">
        <f t="shared" si="24"/>
        <v>Debit Mr. Md Nabeel Anwar-T17843-AUG-26-06-05-2026-Jharkhand</v>
      </c>
      <c r="O82" s="16" t="s">
        <v>1403</v>
      </c>
      <c r="P82" s="17" t="s">
        <v>1404</v>
      </c>
      <c r="Q82" s="16" t="str">
        <f t="shared" si="25"/>
        <v>62-MUM-USP</v>
      </c>
      <c r="R82" s="16" t="str">
        <f t="shared" si="16"/>
        <v>USP</v>
      </c>
      <c r="S82" s="18" t="s">
        <v>1400</v>
      </c>
    </row>
    <row r="83" spans="1:19" x14ac:dyDescent="0.3">
      <c r="A83" s="12" t="s">
        <v>1399</v>
      </c>
      <c r="B83" s="13" t="s">
        <v>1400</v>
      </c>
      <c r="C83" s="5" t="s">
        <v>1237</v>
      </c>
      <c r="D83" s="5" t="s">
        <v>299</v>
      </c>
      <c r="E83" s="5" t="s">
        <v>503</v>
      </c>
      <c r="F83" s="5" t="s">
        <v>665</v>
      </c>
      <c r="G83" s="14" t="s">
        <v>1413</v>
      </c>
      <c r="H83" s="14" t="s">
        <v>1409</v>
      </c>
      <c r="I83" s="5">
        <v>4232</v>
      </c>
      <c r="J83" s="5" t="s">
        <v>1235</v>
      </c>
      <c r="K83" s="5" t="s">
        <v>844</v>
      </c>
      <c r="L83" s="16">
        <v>80003</v>
      </c>
      <c r="M83" s="16" t="str">
        <f t="shared" si="23"/>
        <v>80003-69-MUM-PBD</v>
      </c>
      <c r="N83" s="16" t="str">
        <f t="shared" si="24"/>
        <v>Debit Mr. Vikash Sharma-T12988-AUG-26-06-05-2026-Odisha</v>
      </c>
      <c r="O83" s="16" t="s">
        <v>1403</v>
      </c>
      <c r="P83" s="17" t="s">
        <v>1404</v>
      </c>
      <c r="Q83" s="16" t="str">
        <f t="shared" si="25"/>
        <v>69-MUM-PBD</v>
      </c>
      <c r="R83" s="16" t="str">
        <f t="shared" si="16"/>
        <v>PBD</v>
      </c>
      <c r="S83" s="18" t="s">
        <v>1400</v>
      </c>
    </row>
    <row r="84" spans="1:19" x14ac:dyDescent="0.3">
      <c r="A84" s="12" t="s">
        <v>1399</v>
      </c>
      <c r="B84" s="13" t="s">
        <v>1400</v>
      </c>
      <c r="C84" s="5" t="s">
        <v>1191</v>
      </c>
      <c r="D84" s="5" t="s">
        <v>262</v>
      </c>
      <c r="E84" s="5" t="s">
        <v>560</v>
      </c>
      <c r="F84" s="5" t="s">
        <v>559</v>
      </c>
      <c r="G84" s="14" t="s">
        <v>1413</v>
      </c>
      <c r="H84" s="14" t="s">
        <v>1409</v>
      </c>
      <c r="I84" s="5">
        <v>4031</v>
      </c>
      <c r="J84" s="5" t="s">
        <v>1242</v>
      </c>
      <c r="K84" s="5" t="s">
        <v>842</v>
      </c>
      <c r="L84" s="16">
        <v>80003</v>
      </c>
      <c r="M84" s="16" t="str">
        <f t="shared" si="23"/>
        <v>80003-61-MUM-ASO</v>
      </c>
      <c r="N84" s="16" t="str">
        <f t="shared" si="24"/>
        <v>Debit Mrs. Srimathi R-SG0444-AUG-26-06-05-2026-Uttar Pradesh</v>
      </c>
      <c r="O84" s="16" t="s">
        <v>1403</v>
      </c>
      <c r="P84" s="17" t="s">
        <v>1404</v>
      </c>
      <c r="Q84" s="16" t="str">
        <f t="shared" si="25"/>
        <v>61-MUM-ASO</v>
      </c>
      <c r="R84" s="16" t="str">
        <f t="shared" si="16"/>
        <v>ASO</v>
      </c>
      <c r="S84" s="18" t="s">
        <v>1400</v>
      </c>
    </row>
    <row r="85" spans="1:19" x14ac:dyDescent="0.3">
      <c r="A85" s="12" t="s">
        <v>1399</v>
      </c>
      <c r="B85" s="13" t="s">
        <v>1400</v>
      </c>
      <c r="C85" s="5" t="s">
        <v>1191</v>
      </c>
      <c r="D85" s="5" t="s">
        <v>262</v>
      </c>
      <c r="E85" s="5" t="s">
        <v>560</v>
      </c>
      <c r="F85" s="5" t="s">
        <v>559</v>
      </c>
      <c r="G85" s="14" t="s">
        <v>1413</v>
      </c>
      <c r="H85" s="14" t="s">
        <v>1409</v>
      </c>
      <c r="I85" s="5">
        <v>4264</v>
      </c>
      <c r="J85" s="5" t="s">
        <v>1249</v>
      </c>
      <c r="K85" s="5" t="s">
        <v>834</v>
      </c>
      <c r="L85" s="16">
        <v>80003</v>
      </c>
      <c r="M85" s="16" t="str">
        <f t="shared" si="23"/>
        <v>80003-61-MUM-ASO</v>
      </c>
      <c r="N85" s="16" t="str">
        <f t="shared" si="24"/>
        <v>Debit Mrs. Srimathi R-SG0444-AUG-26-06-05-2026-Uttar Pradesh</v>
      </c>
      <c r="O85" s="16" t="s">
        <v>1403</v>
      </c>
      <c r="P85" s="17" t="s">
        <v>1404</v>
      </c>
      <c r="Q85" s="16" t="str">
        <f t="shared" si="25"/>
        <v>61-MUM-ASO</v>
      </c>
      <c r="R85" s="16" t="str">
        <f t="shared" si="16"/>
        <v>ASO</v>
      </c>
      <c r="S85" s="18" t="s">
        <v>1400</v>
      </c>
    </row>
    <row r="86" spans="1:19" x14ac:dyDescent="0.3">
      <c r="A86" s="12" t="s">
        <v>1399</v>
      </c>
      <c r="B86" s="13" t="s">
        <v>1400</v>
      </c>
      <c r="C86" s="5" t="s">
        <v>1199</v>
      </c>
      <c r="D86" s="5" t="s">
        <v>262</v>
      </c>
      <c r="E86" s="5" t="s">
        <v>339</v>
      </c>
      <c r="F86" s="5" t="s">
        <v>1018</v>
      </c>
      <c r="G86" s="14" t="s">
        <v>1413</v>
      </c>
      <c r="H86" s="14" t="s">
        <v>1409</v>
      </c>
      <c r="I86" s="5">
        <v>4934</v>
      </c>
      <c r="J86" s="5" t="s">
        <v>1253</v>
      </c>
      <c r="K86" s="5" t="s">
        <v>834</v>
      </c>
      <c r="L86" s="16">
        <v>80003</v>
      </c>
      <c r="M86" s="16" t="str">
        <f t="shared" si="23"/>
        <v>80003-61-MUM-USE</v>
      </c>
      <c r="N86" s="16" t="str">
        <f t="shared" si="24"/>
        <v>Debit Mr. Shubham Dubey-T15255-AUG-26-06-05-2026-Uttar Pradesh</v>
      </c>
      <c r="O86" s="16" t="s">
        <v>1403</v>
      </c>
      <c r="P86" s="17" t="s">
        <v>1404</v>
      </c>
      <c r="Q86" s="16" t="str">
        <f t="shared" si="25"/>
        <v>61-MUM-USE</v>
      </c>
      <c r="R86" s="16" t="str">
        <f t="shared" si="16"/>
        <v>USE</v>
      </c>
      <c r="S86" s="18" t="s">
        <v>1400</v>
      </c>
    </row>
    <row r="87" spans="1:19" x14ac:dyDescent="0.3">
      <c r="A87" s="12" t="s">
        <v>1399</v>
      </c>
      <c r="B87" s="13" t="s">
        <v>1400</v>
      </c>
      <c r="C87" s="5" t="s">
        <v>1261</v>
      </c>
      <c r="D87" s="5" t="s">
        <v>262</v>
      </c>
      <c r="E87" s="5" t="s">
        <v>1007</v>
      </c>
      <c r="F87" s="5" t="s">
        <v>1006</v>
      </c>
      <c r="G87" s="14" t="s">
        <v>1413</v>
      </c>
      <c r="H87" s="14" t="s">
        <v>1409</v>
      </c>
      <c r="I87" s="5">
        <v>3455</v>
      </c>
      <c r="J87" s="5" t="s">
        <v>1259</v>
      </c>
      <c r="K87" s="5" t="s">
        <v>834</v>
      </c>
      <c r="L87" s="16">
        <v>80003</v>
      </c>
      <c r="M87" s="16" t="str">
        <f t="shared" si="23"/>
        <v>80003-72-MUM-HBC</v>
      </c>
      <c r="N87" s="16" t="str">
        <f t="shared" si="24"/>
        <v>Debit Mr. Bipin Kumar Tiwari-T16960-AUG-26-06-05-2026-Uttar Pradesh</v>
      </c>
      <c r="O87" s="16" t="s">
        <v>1403</v>
      </c>
      <c r="P87" s="17" t="s">
        <v>1404</v>
      </c>
      <c r="Q87" s="16" t="str">
        <f t="shared" si="25"/>
        <v>72-MUM-HBC</v>
      </c>
      <c r="R87" s="16" t="str">
        <f t="shared" si="16"/>
        <v>HBC</v>
      </c>
      <c r="S87" s="18" t="s">
        <v>1400</v>
      </c>
    </row>
    <row r="88" spans="1:19" x14ac:dyDescent="0.3">
      <c r="A88" s="12" t="s">
        <v>1399</v>
      </c>
      <c r="B88" s="13" t="s">
        <v>1400</v>
      </c>
      <c r="C88" s="5" t="s">
        <v>1267</v>
      </c>
      <c r="D88" s="5" t="s">
        <v>251</v>
      </c>
      <c r="E88" s="5" t="s">
        <v>503</v>
      </c>
      <c r="F88" s="5" t="s">
        <v>687</v>
      </c>
      <c r="G88" s="14" t="s">
        <v>1413</v>
      </c>
      <c r="H88" s="14" t="s">
        <v>1409</v>
      </c>
      <c r="I88" s="5">
        <v>10045</v>
      </c>
      <c r="J88" s="5" t="s">
        <v>1265</v>
      </c>
      <c r="K88" s="5" t="s">
        <v>834</v>
      </c>
      <c r="L88" s="16">
        <v>80003</v>
      </c>
      <c r="M88" s="16" t="str">
        <f t="shared" si="23"/>
        <v>80003-69-MUM-PBD</v>
      </c>
      <c r="N88" s="16" t="str">
        <f t="shared" si="24"/>
        <v>Debit Mr. Shashwat Sagar Dubey-T13872-AUG-26-06-05-2026-Rajasthan</v>
      </c>
      <c r="O88" s="16" t="s">
        <v>1403</v>
      </c>
      <c r="P88" s="17" t="s">
        <v>1404</v>
      </c>
      <c r="Q88" s="16" t="str">
        <f t="shared" si="25"/>
        <v>69-MUM-PBD</v>
      </c>
      <c r="R88" s="16" t="str">
        <f t="shared" si="16"/>
        <v>PBD</v>
      </c>
      <c r="S88" s="18" t="s">
        <v>1400</v>
      </c>
    </row>
    <row r="89" spans="1:19" x14ac:dyDescent="0.3">
      <c r="A89" s="12" t="s">
        <v>1399</v>
      </c>
      <c r="B89" s="13" t="s">
        <v>1400</v>
      </c>
      <c r="C89" s="5" t="s">
        <v>1237</v>
      </c>
      <c r="D89" s="5" t="s">
        <v>299</v>
      </c>
      <c r="E89" s="5" t="s">
        <v>503</v>
      </c>
      <c r="F89" s="5" t="s">
        <v>665</v>
      </c>
      <c r="G89" s="14" t="s">
        <v>1413</v>
      </c>
      <c r="H89" s="14" t="s">
        <v>1409</v>
      </c>
      <c r="I89" s="5">
        <v>4232</v>
      </c>
      <c r="J89" s="5" t="s">
        <v>1272</v>
      </c>
      <c r="K89" s="5" t="s">
        <v>834</v>
      </c>
      <c r="L89" s="16">
        <v>80003</v>
      </c>
      <c r="M89" s="16" t="str">
        <f t="shared" si="23"/>
        <v>80003-69-MUM-PBD</v>
      </c>
      <c r="N89" s="16" t="str">
        <f t="shared" si="24"/>
        <v>Debit Mr. Vikash Sharma-T12988-AUG-26-06-05-2026-Odisha</v>
      </c>
      <c r="O89" s="16" t="s">
        <v>1403</v>
      </c>
      <c r="P89" s="17" t="s">
        <v>1404</v>
      </c>
      <c r="Q89" s="16" t="str">
        <f t="shared" si="25"/>
        <v>69-MUM-PBD</v>
      </c>
      <c r="R89" s="16" t="str">
        <f t="shared" si="16"/>
        <v>PBD</v>
      </c>
      <c r="S89" s="18" t="s">
        <v>1400</v>
      </c>
    </row>
    <row r="90" spans="1:19" x14ac:dyDescent="0.3">
      <c r="A90" s="12" t="s">
        <v>1399</v>
      </c>
      <c r="B90" s="13" t="s">
        <v>1400</v>
      </c>
      <c r="C90" s="5" t="s">
        <v>1278</v>
      </c>
      <c r="D90" s="5" t="s">
        <v>262</v>
      </c>
      <c r="E90" s="5" t="s">
        <v>213</v>
      </c>
      <c r="F90" s="5" t="s">
        <v>224</v>
      </c>
      <c r="G90" s="14" t="s">
        <v>1413</v>
      </c>
      <c r="H90" s="14" t="s">
        <v>1409</v>
      </c>
      <c r="I90" s="5">
        <v>23736</v>
      </c>
      <c r="J90" s="5" t="s">
        <v>1276</v>
      </c>
      <c r="K90" s="5" t="s">
        <v>850</v>
      </c>
      <c r="L90" s="16">
        <v>80003</v>
      </c>
      <c r="M90" s="16" t="str">
        <f t="shared" si="23"/>
        <v>80003-62-MUM-SSS</v>
      </c>
      <c r="N90" s="16" t="str">
        <f t="shared" si="24"/>
        <v>Debit Mr. Uditendu Bose-SG0320-AUG-26-06-05-2026-Uttar Pradesh</v>
      </c>
      <c r="O90" s="16" t="s">
        <v>1403</v>
      </c>
      <c r="P90" s="17" t="s">
        <v>1404</v>
      </c>
      <c r="Q90" s="16" t="str">
        <f t="shared" si="25"/>
        <v>62-MUM-SSS</v>
      </c>
      <c r="R90" s="16" t="str">
        <f t="shared" si="16"/>
        <v>SSS</v>
      </c>
      <c r="S90" s="18" t="s">
        <v>1400</v>
      </c>
    </row>
    <row r="91" spans="1:19" x14ac:dyDescent="0.3">
      <c r="A91" s="12" t="s">
        <v>1399</v>
      </c>
      <c r="B91" s="13" t="s">
        <v>1400</v>
      </c>
      <c r="C91" s="5" t="s">
        <v>1287</v>
      </c>
      <c r="D91" s="5" t="s">
        <v>262</v>
      </c>
      <c r="E91" s="5" t="s">
        <v>213</v>
      </c>
      <c r="F91" s="5" t="s">
        <v>753</v>
      </c>
      <c r="G91" s="14" t="s">
        <v>1413</v>
      </c>
      <c r="H91" s="14" t="s">
        <v>1409</v>
      </c>
      <c r="I91" s="5">
        <v>14724</v>
      </c>
      <c r="J91" s="5" t="s">
        <v>1285</v>
      </c>
      <c r="K91" s="5" t="s">
        <v>851</v>
      </c>
      <c r="L91" s="16">
        <v>80003</v>
      </c>
      <c r="M91" s="16" t="str">
        <f t="shared" si="23"/>
        <v>80003-62-MUM-SSS</v>
      </c>
      <c r="N91" s="16" t="str">
        <f t="shared" si="24"/>
        <v>Debit Mr. Siddhartha Bose-T17566-AUG-26-06-05-2026-Uttar Pradesh</v>
      </c>
      <c r="O91" s="16" t="s">
        <v>1403</v>
      </c>
      <c r="P91" s="17" t="s">
        <v>1404</v>
      </c>
      <c r="Q91" s="16" t="str">
        <f t="shared" si="25"/>
        <v>62-MUM-SSS</v>
      </c>
      <c r="R91" s="16" t="str">
        <f t="shared" si="16"/>
        <v>SSS</v>
      </c>
      <c r="S91" s="18" t="s">
        <v>1400</v>
      </c>
    </row>
    <row r="92" spans="1:19" x14ac:dyDescent="0.3">
      <c r="A92" s="12" t="s">
        <v>1399</v>
      </c>
      <c r="B92" s="13" t="s">
        <v>1400</v>
      </c>
      <c r="C92" s="5" t="s">
        <v>1206</v>
      </c>
      <c r="D92" s="5" t="s">
        <v>260</v>
      </c>
      <c r="E92" s="5" t="s">
        <v>339</v>
      </c>
      <c r="F92" s="5" t="s">
        <v>778</v>
      </c>
      <c r="G92" s="14" t="s">
        <v>1413</v>
      </c>
      <c r="H92" s="14" t="s">
        <v>1409</v>
      </c>
      <c r="I92" s="5">
        <v>12780</v>
      </c>
      <c r="J92" s="5" t="s">
        <v>1290</v>
      </c>
      <c r="K92" s="5" t="s">
        <v>847</v>
      </c>
      <c r="L92" s="16">
        <v>80003</v>
      </c>
      <c r="M92" s="16" t="str">
        <f t="shared" si="23"/>
        <v>80003-61-MUM-USE</v>
      </c>
      <c r="N92" s="16" t="str">
        <f t="shared" si="24"/>
        <v>Debit Mr. Nakul Joshi-T15226-AUG-26-06-05-2026-Madhya Pradesh</v>
      </c>
      <c r="O92" s="16" t="s">
        <v>1403</v>
      </c>
      <c r="P92" s="17" t="s">
        <v>1404</v>
      </c>
      <c r="Q92" s="16" t="str">
        <f t="shared" si="25"/>
        <v>61-MUM-USE</v>
      </c>
      <c r="R92" s="16" t="str">
        <f t="shared" si="16"/>
        <v>USE</v>
      </c>
      <c r="S92" s="18" t="s">
        <v>1400</v>
      </c>
    </row>
    <row r="93" spans="1:19" x14ac:dyDescent="0.3">
      <c r="A93" s="12" t="s">
        <v>1399</v>
      </c>
      <c r="B93" s="13" t="s">
        <v>1400</v>
      </c>
      <c r="C93" s="5" t="s">
        <v>1214</v>
      </c>
      <c r="D93" s="5" t="s">
        <v>260</v>
      </c>
      <c r="E93" s="5" t="s">
        <v>339</v>
      </c>
      <c r="F93" s="5" t="s">
        <v>608</v>
      </c>
      <c r="G93" s="14" t="s">
        <v>1413</v>
      </c>
      <c r="H93" s="14" t="s">
        <v>1409</v>
      </c>
      <c r="I93" s="5">
        <v>7879</v>
      </c>
      <c r="J93" s="5" t="s">
        <v>1295</v>
      </c>
      <c r="K93" s="5" t="s">
        <v>847</v>
      </c>
      <c r="L93" s="16">
        <v>80003</v>
      </c>
      <c r="M93" s="16" t="str">
        <f t="shared" si="23"/>
        <v>80003-61-MUM-USE</v>
      </c>
      <c r="N93" s="16" t="str">
        <f t="shared" si="24"/>
        <v>Debit Ms. Deepti Deepti-T17404-AUG-26-06-05-2026-Madhya Pradesh</v>
      </c>
      <c r="O93" s="16" t="s">
        <v>1403</v>
      </c>
      <c r="P93" s="17" t="s">
        <v>1404</v>
      </c>
      <c r="Q93" s="16" t="str">
        <f t="shared" si="25"/>
        <v>61-MUM-USE</v>
      </c>
      <c r="R93" s="16" t="str">
        <f t="shared" si="16"/>
        <v>USE</v>
      </c>
      <c r="S93" s="18" t="s">
        <v>1400</v>
      </c>
    </row>
    <row r="94" spans="1:19" x14ac:dyDescent="0.3">
      <c r="A94" s="12" t="s">
        <v>1410</v>
      </c>
      <c r="B94" s="13" t="s">
        <v>1400</v>
      </c>
      <c r="C94" s="5" t="s">
        <v>885</v>
      </c>
      <c r="D94" s="5" t="s">
        <v>491</v>
      </c>
      <c r="E94" s="5" t="s">
        <v>213</v>
      </c>
      <c r="F94" s="5" t="s">
        <v>886</v>
      </c>
      <c r="G94" s="14" t="s">
        <v>1401</v>
      </c>
      <c r="H94" s="14" t="s">
        <v>1411</v>
      </c>
      <c r="I94" s="5">
        <v>17753</v>
      </c>
      <c r="J94" s="5" t="s">
        <v>1318</v>
      </c>
      <c r="K94" s="5" t="s">
        <v>1095</v>
      </c>
      <c r="L94" s="16">
        <v>80003</v>
      </c>
      <c r="M94" s="16" t="str">
        <f t="shared" ref="M94" si="26">CONCATENATE(L94,"-",E94)</f>
        <v>80003-62-MUM-SSS</v>
      </c>
      <c r="N94" s="16" t="str">
        <f t="shared" ref="N94" si="27">CONCATENATE(H94," ",C94,"-",F94,"-",B94,"-",P94,"-",D94)</f>
        <v>Credit MR. PREETISH GUPTA-SG0516-AUG-26-06-05-2026-Mumbai-Ahmedabad</v>
      </c>
      <c r="O94" s="16" t="s">
        <v>1403</v>
      </c>
      <c r="P94" s="17" t="s">
        <v>1404</v>
      </c>
      <c r="Q94" s="16" t="str">
        <f t="shared" ref="Q94" si="28">E94</f>
        <v>62-MUM-SSS</v>
      </c>
      <c r="R94" s="16" t="str">
        <f t="shared" si="16"/>
        <v>SSS</v>
      </c>
      <c r="S94" s="18" t="s">
        <v>1400</v>
      </c>
    </row>
    <row r="95" spans="1:19" x14ac:dyDescent="0.3">
      <c r="A95" s="12" t="s">
        <v>1410</v>
      </c>
      <c r="B95" s="13" t="s">
        <v>1400</v>
      </c>
      <c r="C95" s="5" t="s">
        <v>159</v>
      </c>
      <c r="D95" s="5" t="s">
        <v>169</v>
      </c>
      <c r="E95" s="5" t="s">
        <v>213</v>
      </c>
      <c r="F95" s="5" t="s">
        <v>160</v>
      </c>
      <c r="G95" s="14" t="s">
        <v>1401</v>
      </c>
      <c r="H95" s="14" t="s">
        <v>1411</v>
      </c>
      <c r="I95" s="5">
        <v>10473</v>
      </c>
      <c r="J95" s="5" t="s">
        <v>1331</v>
      </c>
      <c r="K95" s="5" t="s">
        <v>1095</v>
      </c>
      <c r="L95" s="16">
        <v>80003</v>
      </c>
      <c r="M95" s="16" t="str">
        <f t="shared" ref="M95:M104" si="29">CONCATENATE(L95,"-",E95)</f>
        <v>80003-62-MUM-SSS</v>
      </c>
      <c r="N95" s="16" t="str">
        <f t="shared" ref="N95:N104" si="30">CONCATENATE(H95," ",C95,"-",F95,"-",B95,"-",P95,"-",D95)</f>
        <v>Credit MR. ABDUL FAROOQI-CQ00873076-AUG-26-06-05-2026-New Delhi-Mumbai/Mumbai-Kannur</v>
      </c>
      <c r="O95" s="16" t="s">
        <v>1403</v>
      </c>
      <c r="P95" s="17" t="s">
        <v>1404</v>
      </c>
      <c r="Q95" s="16" t="str">
        <f t="shared" ref="Q95:Q104" si="31">E95</f>
        <v>62-MUM-SSS</v>
      </c>
      <c r="R95" s="16" t="str">
        <f t="shared" si="16"/>
        <v>SSS</v>
      </c>
      <c r="S95" s="18" t="s">
        <v>1400</v>
      </c>
    </row>
    <row r="96" spans="1:19" x14ac:dyDescent="0.3">
      <c r="A96" s="12" t="s">
        <v>1410</v>
      </c>
      <c r="B96" s="13" t="s">
        <v>1400</v>
      </c>
      <c r="C96" s="5" t="s">
        <v>159</v>
      </c>
      <c r="D96" s="5" t="s">
        <v>136</v>
      </c>
      <c r="E96" s="5" t="s">
        <v>213</v>
      </c>
      <c r="F96" s="5" t="s">
        <v>160</v>
      </c>
      <c r="G96" s="14" t="s">
        <v>1401</v>
      </c>
      <c r="H96" s="14" t="s">
        <v>1411</v>
      </c>
      <c r="I96" s="5">
        <v>19251</v>
      </c>
      <c r="J96" s="5" t="s">
        <v>1336</v>
      </c>
      <c r="K96" s="5" t="s">
        <v>1095</v>
      </c>
      <c r="L96" s="16">
        <v>80003</v>
      </c>
      <c r="M96" s="16" t="str">
        <f t="shared" si="29"/>
        <v>80003-62-MUM-SSS</v>
      </c>
      <c r="N96" s="16" t="str">
        <f t="shared" si="30"/>
        <v>Credit MR. ABDUL FAROOQI-CQ00873076-AUG-26-06-05-2026-Kannur-New Delhi</v>
      </c>
      <c r="O96" s="16" t="s">
        <v>1403</v>
      </c>
      <c r="P96" s="17" t="s">
        <v>1404</v>
      </c>
      <c r="Q96" s="16" t="str">
        <f t="shared" si="31"/>
        <v>62-MUM-SSS</v>
      </c>
      <c r="R96" s="16" t="str">
        <f t="shared" si="16"/>
        <v>SSS</v>
      </c>
      <c r="S96" s="18" t="s">
        <v>1400</v>
      </c>
    </row>
    <row r="97" spans="1:19" x14ac:dyDescent="0.3">
      <c r="A97" s="12" t="s">
        <v>1410</v>
      </c>
      <c r="B97" s="13" t="s">
        <v>1400</v>
      </c>
      <c r="C97" s="5" t="s">
        <v>356</v>
      </c>
      <c r="D97" s="5" t="s">
        <v>205</v>
      </c>
      <c r="E97" s="5" t="s">
        <v>358</v>
      </c>
      <c r="F97" s="5" t="s">
        <v>357</v>
      </c>
      <c r="G97" s="14" t="s">
        <v>1401</v>
      </c>
      <c r="H97" s="14" t="s">
        <v>1411</v>
      </c>
      <c r="I97" s="5">
        <v>8328</v>
      </c>
      <c r="J97" s="5" t="s">
        <v>1339</v>
      </c>
      <c r="K97" s="5" t="s">
        <v>831</v>
      </c>
      <c r="L97" s="16">
        <v>80003</v>
      </c>
      <c r="M97" s="16" t="str">
        <f t="shared" si="29"/>
        <v>80003-69-MUM-PBP</v>
      </c>
      <c r="N97" s="16" t="str">
        <f t="shared" si="30"/>
        <v>Credit MR. AAYUSH LAL-T16161-AUG-26-06-05-2026-New Delhi-Chennai</v>
      </c>
      <c r="O97" s="16" t="s">
        <v>1403</v>
      </c>
      <c r="P97" s="17" t="s">
        <v>1404</v>
      </c>
      <c r="Q97" s="16" t="str">
        <f t="shared" si="31"/>
        <v>69-MUM-PBP</v>
      </c>
      <c r="R97" s="16" t="str">
        <f t="shared" si="16"/>
        <v>PBP</v>
      </c>
      <c r="S97" s="18" t="s">
        <v>1400</v>
      </c>
    </row>
    <row r="98" spans="1:19" x14ac:dyDescent="0.3">
      <c r="A98" s="12" t="s">
        <v>1410</v>
      </c>
      <c r="B98" s="13" t="s">
        <v>1400</v>
      </c>
      <c r="C98" s="5" t="s">
        <v>269</v>
      </c>
      <c r="D98" s="5" t="s">
        <v>286</v>
      </c>
      <c r="E98" s="5" t="s">
        <v>271</v>
      </c>
      <c r="F98" s="5" t="s">
        <v>270</v>
      </c>
      <c r="G98" s="14" t="s">
        <v>1401</v>
      </c>
      <c r="H98" s="14" t="s">
        <v>1411</v>
      </c>
      <c r="I98" s="5">
        <v>9084</v>
      </c>
      <c r="J98" s="5" t="s">
        <v>1342</v>
      </c>
      <c r="K98" s="5" t="s">
        <v>820</v>
      </c>
      <c r="L98" s="16">
        <v>80003</v>
      </c>
      <c r="M98" s="16" t="str">
        <f t="shared" si="29"/>
        <v>80003-68-MUM-LED</v>
      </c>
      <c r="N98" s="16" t="str">
        <f t="shared" si="30"/>
        <v>Credit MR. SHANTANU ROOJ-SG0014-AUG-26-06-05-2026-Kolkata-Mumbai</v>
      </c>
      <c r="O98" s="16" t="s">
        <v>1403</v>
      </c>
      <c r="P98" s="17" t="s">
        <v>1404</v>
      </c>
      <c r="Q98" s="16" t="str">
        <f t="shared" si="31"/>
        <v>68-MUM-LED</v>
      </c>
      <c r="R98" s="16" t="str">
        <f t="shared" si="16"/>
        <v>LED</v>
      </c>
      <c r="S98" s="18" t="s">
        <v>1400</v>
      </c>
    </row>
    <row r="99" spans="1:19" x14ac:dyDescent="0.3">
      <c r="A99" s="12" t="s">
        <v>1410</v>
      </c>
      <c r="B99" s="13" t="s">
        <v>1400</v>
      </c>
      <c r="C99" s="5" t="s">
        <v>269</v>
      </c>
      <c r="D99" s="5" t="s">
        <v>273</v>
      </c>
      <c r="E99" s="5" t="s">
        <v>271</v>
      </c>
      <c r="F99" s="5" t="s">
        <v>270</v>
      </c>
      <c r="G99" s="14" t="s">
        <v>1401</v>
      </c>
      <c r="H99" s="14" t="s">
        <v>1411</v>
      </c>
      <c r="I99" s="5">
        <v>8557</v>
      </c>
      <c r="J99" s="5" t="s">
        <v>1346</v>
      </c>
      <c r="K99" s="5" t="s">
        <v>820</v>
      </c>
      <c r="L99" s="16">
        <v>80003</v>
      </c>
      <c r="M99" s="16" t="str">
        <f t="shared" si="29"/>
        <v>80003-68-MUM-LED</v>
      </c>
      <c r="N99" s="16" t="str">
        <f t="shared" si="30"/>
        <v>Credit MR. SHANTANU ROOJ-SG0014-AUG-26-06-05-2026-Mumbai-Kolkata</v>
      </c>
      <c r="O99" s="16" t="s">
        <v>1403</v>
      </c>
      <c r="P99" s="17" t="s">
        <v>1404</v>
      </c>
      <c r="Q99" s="16" t="str">
        <f t="shared" si="31"/>
        <v>68-MUM-LED</v>
      </c>
      <c r="R99" s="16" t="str">
        <f t="shared" si="16"/>
        <v>LED</v>
      </c>
      <c r="S99" s="18" t="s">
        <v>1400</v>
      </c>
    </row>
    <row r="100" spans="1:19" x14ac:dyDescent="0.3">
      <c r="A100" s="12" t="s">
        <v>1410</v>
      </c>
      <c r="B100" s="13" t="s">
        <v>1400</v>
      </c>
      <c r="C100" s="5" t="s">
        <v>215</v>
      </c>
      <c r="D100" s="5" t="s">
        <v>286</v>
      </c>
      <c r="E100" s="5" t="s">
        <v>213</v>
      </c>
      <c r="F100" s="5" t="s">
        <v>224</v>
      </c>
      <c r="G100" s="14" t="s">
        <v>1401</v>
      </c>
      <c r="H100" s="14" t="s">
        <v>1411</v>
      </c>
      <c r="I100" s="5">
        <v>8950</v>
      </c>
      <c r="J100" s="5" t="s">
        <v>1347</v>
      </c>
      <c r="K100" s="5" t="s">
        <v>820</v>
      </c>
      <c r="L100" s="16">
        <v>80003</v>
      </c>
      <c r="M100" s="16" t="str">
        <f t="shared" si="29"/>
        <v>80003-62-MUM-SSS</v>
      </c>
      <c r="N100" s="16" t="str">
        <f t="shared" si="30"/>
        <v>Credit MR. UDITENDU BOSE-SG0320-AUG-26-06-05-2026-Kolkata-Mumbai</v>
      </c>
      <c r="O100" s="16" t="s">
        <v>1403</v>
      </c>
      <c r="P100" s="17" t="s">
        <v>1404</v>
      </c>
      <c r="Q100" s="16" t="str">
        <f t="shared" si="31"/>
        <v>62-MUM-SSS</v>
      </c>
      <c r="R100" s="16" t="str">
        <f t="shared" si="16"/>
        <v>SSS</v>
      </c>
      <c r="S100" s="18" t="s">
        <v>1400</v>
      </c>
    </row>
    <row r="101" spans="1:19" x14ac:dyDescent="0.3">
      <c r="A101" s="12" t="s">
        <v>1410</v>
      </c>
      <c r="B101" s="13" t="s">
        <v>1400</v>
      </c>
      <c r="C101" s="5" t="s">
        <v>269</v>
      </c>
      <c r="D101" s="5" t="s">
        <v>295</v>
      </c>
      <c r="E101" s="5" t="s">
        <v>271</v>
      </c>
      <c r="F101" s="5" t="s">
        <v>270</v>
      </c>
      <c r="G101" s="14" t="s">
        <v>1401</v>
      </c>
      <c r="H101" s="14" t="s">
        <v>1411</v>
      </c>
      <c r="I101" s="5">
        <v>8224</v>
      </c>
      <c r="J101" s="5" t="s">
        <v>1351</v>
      </c>
      <c r="K101" s="5" t="s">
        <v>843</v>
      </c>
      <c r="L101" s="16">
        <v>80003</v>
      </c>
      <c r="M101" s="16" t="str">
        <f t="shared" si="29"/>
        <v>80003-68-MUM-LED</v>
      </c>
      <c r="N101" s="16" t="str">
        <f t="shared" si="30"/>
        <v>Credit MR. SHANTANU ROOJ-SG0014-AUG-26-06-05-2026-New Delhi-Mumbai</v>
      </c>
      <c r="O101" s="16" t="s">
        <v>1403</v>
      </c>
      <c r="P101" s="17" t="s">
        <v>1404</v>
      </c>
      <c r="Q101" s="16" t="str">
        <f t="shared" si="31"/>
        <v>68-MUM-LED</v>
      </c>
      <c r="R101" s="16" t="str">
        <f t="shared" si="16"/>
        <v>LED</v>
      </c>
      <c r="S101" s="18" t="s">
        <v>1400</v>
      </c>
    </row>
    <row r="102" spans="1:19" x14ac:dyDescent="0.3">
      <c r="A102" s="12" t="s">
        <v>1410</v>
      </c>
      <c r="B102" s="13" t="s">
        <v>1400</v>
      </c>
      <c r="C102" s="5" t="s">
        <v>584</v>
      </c>
      <c r="D102" s="5" t="s">
        <v>448</v>
      </c>
      <c r="E102" s="5" t="s">
        <v>586</v>
      </c>
      <c r="F102" s="5" t="s">
        <v>585</v>
      </c>
      <c r="G102" s="14" t="s">
        <v>1401</v>
      </c>
      <c r="H102" s="14" t="s">
        <v>1411</v>
      </c>
      <c r="I102" s="5">
        <v>8796</v>
      </c>
      <c r="J102" s="5" t="s">
        <v>1354</v>
      </c>
      <c r="K102" s="5" t="s">
        <v>1040</v>
      </c>
      <c r="L102" s="16">
        <v>80003</v>
      </c>
      <c r="M102" s="16" t="str">
        <f t="shared" si="29"/>
        <v>80003-62-MUM-PBO</v>
      </c>
      <c r="N102" s="16" t="str">
        <f t="shared" si="30"/>
        <v>Credit MR. PRATHAMESH JADHAV-T16692-AUG-26-06-05-2026-Chennai-Mumbai</v>
      </c>
      <c r="O102" s="16" t="s">
        <v>1403</v>
      </c>
      <c r="P102" s="17" t="s">
        <v>1404</v>
      </c>
      <c r="Q102" s="16" t="str">
        <f t="shared" si="31"/>
        <v>62-MUM-PBO</v>
      </c>
      <c r="R102" s="16" t="str">
        <f t="shared" si="16"/>
        <v>PBO</v>
      </c>
      <c r="S102" s="18" t="s">
        <v>1400</v>
      </c>
    </row>
    <row r="103" spans="1:19" x14ac:dyDescent="0.3">
      <c r="A103" s="12" t="s">
        <v>1410</v>
      </c>
      <c r="B103" s="13" t="s">
        <v>1400</v>
      </c>
      <c r="C103" s="5" t="s">
        <v>584</v>
      </c>
      <c r="D103" s="5" t="s">
        <v>597</v>
      </c>
      <c r="E103" s="5" t="s">
        <v>586</v>
      </c>
      <c r="F103" s="5" t="s">
        <v>585</v>
      </c>
      <c r="G103" s="14" t="s">
        <v>1401</v>
      </c>
      <c r="H103" s="14" t="s">
        <v>1411</v>
      </c>
      <c r="I103" s="5">
        <v>8910</v>
      </c>
      <c r="J103" s="5" t="s">
        <v>1357</v>
      </c>
      <c r="K103" s="5" t="s">
        <v>1040</v>
      </c>
      <c r="L103" s="16">
        <v>80003</v>
      </c>
      <c r="M103" s="16" t="str">
        <f t="shared" si="29"/>
        <v>80003-62-MUM-PBO</v>
      </c>
      <c r="N103" s="16" t="str">
        <f t="shared" si="30"/>
        <v>Credit MR. PRATHAMESH JADHAV-T16692-AUG-26-06-05-2026-Mumbai-Chennai</v>
      </c>
      <c r="O103" s="16" t="s">
        <v>1403</v>
      </c>
      <c r="P103" s="17" t="s">
        <v>1404</v>
      </c>
      <c r="Q103" s="16" t="str">
        <f t="shared" si="31"/>
        <v>62-MUM-PBO</v>
      </c>
      <c r="R103" s="16" t="str">
        <f t="shared" si="16"/>
        <v>PBO</v>
      </c>
      <c r="S103" s="18" t="s">
        <v>1400</v>
      </c>
    </row>
    <row r="104" spans="1:19" x14ac:dyDescent="0.3">
      <c r="A104" s="12" t="s">
        <v>1410</v>
      </c>
      <c r="B104" s="13" t="s">
        <v>1400</v>
      </c>
      <c r="C104" s="5" t="s">
        <v>558</v>
      </c>
      <c r="D104" s="5" t="s">
        <v>576</v>
      </c>
      <c r="E104" s="5" t="s">
        <v>560</v>
      </c>
      <c r="F104" s="5" t="s">
        <v>559</v>
      </c>
      <c r="G104" s="14" t="s">
        <v>1401</v>
      </c>
      <c r="H104" s="14" t="s">
        <v>1411</v>
      </c>
      <c r="I104" s="5">
        <v>8056</v>
      </c>
      <c r="J104" s="5" t="s">
        <v>1358</v>
      </c>
      <c r="K104" s="5" t="s">
        <v>842</v>
      </c>
      <c r="L104" s="16">
        <v>80003</v>
      </c>
      <c r="M104" s="16" t="str">
        <f t="shared" si="29"/>
        <v>80003-61-MUM-ASO</v>
      </c>
      <c r="N104" s="16" t="str">
        <f t="shared" si="30"/>
        <v>Credit MRS. SRIMATHI R-SG0444-AUG-26-06-05-2026-Gwalior-Mumbai</v>
      </c>
      <c r="O104" s="16" t="s">
        <v>1403</v>
      </c>
      <c r="P104" s="17" t="s">
        <v>1404</v>
      </c>
      <c r="Q104" s="16" t="str">
        <f t="shared" si="31"/>
        <v>61-MUM-ASO</v>
      </c>
      <c r="R104" s="16" t="str">
        <f t="shared" si="16"/>
        <v>ASO</v>
      </c>
      <c r="S104" s="18" t="s">
        <v>1400</v>
      </c>
    </row>
    <row r="105" spans="1:19" x14ac:dyDescent="0.3">
      <c r="A105" s="12" t="s">
        <v>1410</v>
      </c>
      <c r="B105" s="13" t="s">
        <v>1400</v>
      </c>
      <c r="C105" s="5" t="s">
        <v>777</v>
      </c>
      <c r="D105" s="5" t="s">
        <v>900</v>
      </c>
      <c r="E105" s="5" t="s">
        <v>339</v>
      </c>
      <c r="F105" s="5" t="s">
        <v>778</v>
      </c>
      <c r="G105" s="14" t="s">
        <v>1406</v>
      </c>
      <c r="H105" s="14" t="s">
        <v>1411</v>
      </c>
      <c r="I105" s="5">
        <v>995</v>
      </c>
      <c r="J105" s="5" t="s">
        <v>1366</v>
      </c>
      <c r="K105" s="5" t="s">
        <v>293</v>
      </c>
      <c r="L105" s="16">
        <v>80003</v>
      </c>
      <c r="M105" s="16" t="str">
        <f t="shared" ref="M105" si="32">CONCATENATE(L105,"-",E105)</f>
        <v>80003-61-MUM-USE</v>
      </c>
      <c r="N105" s="16" t="str">
        <f t="shared" ref="N105" si="33">CONCATENATE(H105," ",C105,"-",F105,"-",B105,"-",P105,"-",D105)</f>
        <v>Credit MR. NAKUL JOSHI-T15226-AUG-26-06-05-2026-MUMBAI CENTRAL - MMCT-VADODARA JN - BRC</v>
      </c>
      <c r="O105" s="16" t="s">
        <v>1403</v>
      </c>
      <c r="P105" s="17" t="s">
        <v>1404</v>
      </c>
      <c r="Q105" s="16" t="str">
        <f t="shared" ref="Q105" si="34">E105</f>
        <v>61-MUM-USE</v>
      </c>
      <c r="R105" s="16" t="str">
        <f t="shared" si="16"/>
        <v>USE</v>
      </c>
      <c r="S105" s="18" t="s">
        <v>1400</v>
      </c>
    </row>
    <row r="106" spans="1:19" x14ac:dyDescent="0.3">
      <c r="A106" s="12" t="s">
        <v>1410</v>
      </c>
      <c r="B106" s="13" t="s">
        <v>1400</v>
      </c>
      <c r="C106" s="5" t="s">
        <v>1191</v>
      </c>
      <c r="D106" s="5" t="s">
        <v>262</v>
      </c>
      <c r="E106" s="5" t="s">
        <v>560</v>
      </c>
      <c r="F106" s="5" t="s">
        <v>559</v>
      </c>
      <c r="G106" s="14" t="s">
        <v>1413</v>
      </c>
      <c r="H106" s="14" t="s">
        <v>1411</v>
      </c>
      <c r="I106" s="5">
        <v>8081</v>
      </c>
      <c r="J106" s="5" t="s">
        <v>1379</v>
      </c>
      <c r="K106" s="5" t="s">
        <v>834</v>
      </c>
      <c r="L106" s="16">
        <v>80003</v>
      </c>
      <c r="M106" s="16" t="str">
        <f t="shared" ref="M106:M107" si="35">CONCATENATE(L106,"-",E106)</f>
        <v>80003-61-MUM-ASO</v>
      </c>
      <c r="N106" s="16" t="str">
        <f t="shared" ref="N106:N107" si="36">CONCATENATE(H106," ",C106,"-",F106,"-",B106,"-",P106,"-",D106)</f>
        <v>Credit Mrs. Srimathi R-SG0444-AUG-26-06-05-2026-Uttar Pradesh</v>
      </c>
      <c r="O106" s="16" t="s">
        <v>1403</v>
      </c>
      <c r="P106" s="17" t="s">
        <v>1404</v>
      </c>
      <c r="Q106" s="16" t="str">
        <f t="shared" ref="Q106:Q107" si="37">E106</f>
        <v>61-MUM-ASO</v>
      </c>
      <c r="R106" s="16" t="str">
        <f t="shared" si="16"/>
        <v>ASO</v>
      </c>
      <c r="S106" s="18" t="s">
        <v>1400</v>
      </c>
    </row>
    <row r="107" spans="1:19" x14ac:dyDescent="0.3">
      <c r="A107" s="12" t="s">
        <v>1410</v>
      </c>
      <c r="B107" s="13" t="s">
        <v>1400</v>
      </c>
      <c r="C107" s="5" t="s">
        <v>1214</v>
      </c>
      <c r="D107" s="5" t="s">
        <v>260</v>
      </c>
      <c r="E107" s="5" t="s">
        <v>339</v>
      </c>
      <c r="F107" s="5" t="s">
        <v>608</v>
      </c>
      <c r="G107" s="14" t="s">
        <v>1413</v>
      </c>
      <c r="H107" s="14" t="s">
        <v>1411</v>
      </c>
      <c r="I107" s="5">
        <v>7879</v>
      </c>
      <c r="J107" s="5" t="s">
        <v>1380</v>
      </c>
      <c r="K107" s="5" t="s">
        <v>847</v>
      </c>
      <c r="L107" s="16">
        <v>80003</v>
      </c>
      <c r="M107" s="16" t="str">
        <f t="shared" si="35"/>
        <v>80003-61-MUM-USE</v>
      </c>
      <c r="N107" s="16" t="str">
        <f t="shared" si="36"/>
        <v>Credit Ms. Deepti Deepti-T17404-AUG-26-06-05-2026-Madhya Pradesh</v>
      </c>
      <c r="O107" s="16" t="s">
        <v>1403</v>
      </c>
      <c r="P107" s="17" t="s">
        <v>1404</v>
      </c>
      <c r="Q107" s="16" t="str">
        <f t="shared" si="37"/>
        <v>61-MUM-USE</v>
      </c>
      <c r="R107" s="16" t="str">
        <f t="shared" si="16"/>
        <v>USE</v>
      </c>
      <c r="S107" s="18" t="s">
        <v>1400</v>
      </c>
    </row>
    <row r="108" spans="1:19" x14ac:dyDescent="0.3">
      <c r="A108" s="12"/>
      <c r="B108" s="13"/>
      <c r="C108" s="5"/>
      <c r="D108" s="5"/>
      <c r="E108" s="5"/>
      <c r="F108" s="5"/>
      <c r="G108" s="14"/>
      <c r="H108" s="14"/>
      <c r="I108" s="5"/>
      <c r="J108" s="5"/>
      <c r="K108" s="15"/>
      <c r="L108" s="16"/>
      <c r="M108" s="16"/>
      <c r="N108" s="16"/>
      <c r="O108" s="16"/>
      <c r="P108" s="17"/>
      <c r="Q108" s="16"/>
      <c r="R108" s="16"/>
      <c r="S108" s="18"/>
    </row>
    <row r="109" spans="1:19" x14ac:dyDescent="0.3">
      <c r="A109" s="12"/>
      <c r="B109" s="13"/>
      <c r="C109" s="5"/>
      <c r="D109" s="5"/>
      <c r="E109" s="5"/>
      <c r="F109" s="5"/>
      <c r="G109" s="14"/>
      <c r="H109" s="14"/>
      <c r="I109" s="5"/>
      <c r="J109" s="5"/>
      <c r="K109" s="15"/>
      <c r="L109" s="16"/>
      <c r="M109" s="16"/>
      <c r="N109" s="16"/>
      <c r="O109" s="16"/>
      <c r="P109" s="17"/>
      <c r="Q109" s="16"/>
      <c r="R109" s="16"/>
      <c r="S109" s="18"/>
    </row>
    <row r="110" spans="1:19" x14ac:dyDescent="0.3">
      <c r="A110" s="12"/>
      <c r="B110" s="13"/>
      <c r="C110" s="5"/>
      <c r="D110" s="5"/>
      <c r="E110" s="5"/>
      <c r="F110" s="5"/>
      <c r="G110" s="14"/>
      <c r="H110" s="14"/>
      <c r="I110" s="5"/>
      <c r="J110" s="5"/>
      <c r="K110" s="15"/>
      <c r="L110" s="16"/>
      <c r="M110" s="16"/>
      <c r="N110" s="16"/>
      <c r="O110" s="16"/>
      <c r="P110" s="17"/>
      <c r="Q110" s="16"/>
      <c r="R110" s="16"/>
      <c r="S110" s="18"/>
    </row>
    <row r="111" spans="1:19" x14ac:dyDescent="0.3">
      <c r="A111" s="12"/>
      <c r="B111" s="13"/>
      <c r="C111" s="5"/>
      <c r="D111" s="5"/>
      <c r="E111" s="5"/>
      <c r="F111" s="5"/>
      <c r="G111" s="14"/>
      <c r="H111" s="14"/>
      <c r="I111" s="5"/>
      <c r="J111" s="5"/>
      <c r="K111" s="15"/>
      <c r="L111" s="16"/>
      <c r="M111" s="16"/>
      <c r="N111" s="16"/>
      <c r="O111" s="16"/>
      <c r="P111" s="17"/>
      <c r="Q111" s="16"/>
      <c r="R111" s="16"/>
      <c r="S111" s="18"/>
    </row>
    <row r="112" spans="1:19" x14ac:dyDescent="0.3">
      <c r="A112" s="12"/>
      <c r="B112" s="13"/>
      <c r="C112" s="5"/>
      <c r="D112" s="5"/>
      <c r="E112" s="5"/>
      <c r="F112" s="5"/>
      <c r="G112" s="14"/>
      <c r="H112" s="14"/>
      <c r="I112" s="5"/>
      <c r="J112" s="5"/>
      <c r="K112" s="15"/>
      <c r="L112" s="16"/>
      <c r="M112" s="16"/>
      <c r="N112" s="16"/>
      <c r="O112" s="16"/>
      <c r="P112" s="17"/>
      <c r="Q112" s="16"/>
      <c r="R112" s="16"/>
      <c r="S112" s="18"/>
    </row>
    <row r="113" spans="1:19" x14ac:dyDescent="0.3">
      <c r="A113" s="12"/>
      <c r="B113" s="13"/>
      <c r="C113" s="5"/>
      <c r="D113" s="5"/>
      <c r="E113" s="5"/>
      <c r="F113" s="5"/>
      <c r="G113" s="14"/>
      <c r="H113" s="14"/>
      <c r="I113" s="5"/>
      <c r="J113" s="5"/>
      <c r="K113" s="15"/>
      <c r="L113" s="16"/>
      <c r="M113" s="16"/>
      <c r="N113" s="16"/>
      <c r="O113" s="16"/>
      <c r="P113" s="17"/>
      <c r="Q113" s="16"/>
      <c r="R113" s="16"/>
      <c r="S113" s="18"/>
    </row>
    <row r="114" spans="1:19" x14ac:dyDescent="0.3">
      <c r="A114" s="12"/>
      <c r="B114" s="13"/>
      <c r="C114" s="5"/>
      <c r="D114" s="5"/>
      <c r="E114" s="5"/>
      <c r="F114" s="5"/>
      <c r="G114" s="14"/>
      <c r="H114" s="14"/>
      <c r="I114" s="5"/>
      <c r="J114" s="5"/>
      <c r="K114" s="15"/>
      <c r="L114" s="16"/>
      <c r="M114" s="16"/>
      <c r="N114" s="16"/>
      <c r="O114" s="16"/>
      <c r="P114" s="17"/>
      <c r="Q114" s="16"/>
      <c r="R114" s="16"/>
      <c r="S114" s="18"/>
    </row>
    <row r="115" spans="1:19" x14ac:dyDescent="0.3">
      <c r="A115" s="12"/>
      <c r="B115" s="13"/>
      <c r="C115" s="5"/>
      <c r="D115" s="5"/>
      <c r="E115" s="5"/>
      <c r="F115" s="5"/>
      <c r="G115" s="14"/>
      <c r="H115" s="14"/>
      <c r="I115" s="5"/>
      <c r="J115" s="5"/>
      <c r="K115" s="15"/>
      <c r="L115" s="16"/>
      <c r="M115" s="16"/>
      <c r="N115" s="16"/>
      <c r="O115" s="16"/>
      <c r="P115" s="17"/>
      <c r="Q115" s="16"/>
      <c r="R115" s="16"/>
      <c r="S115" s="18"/>
    </row>
    <row r="116" spans="1:19" x14ac:dyDescent="0.3">
      <c r="A116" s="12"/>
      <c r="B116" s="13"/>
      <c r="C116" s="5"/>
      <c r="D116" s="5"/>
      <c r="E116" s="5"/>
      <c r="F116" s="5"/>
      <c r="G116" s="14"/>
      <c r="H116" s="14"/>
      <c r="I116" s="5"/>
      <c r="J116" s="5"/>
      <c r="K116" s="15"/>
      <c r="L116" s="16"/>
      <c r="M116" s="16"/>
      <c r="N116" s="16"/>
      <c r="O116" s="16"/>
      <c r="P116" s="17"/>
      <c r="Q116" s="16"/>
      <c r="R116" s="16"/>
      <c r="S116" s="18"/>
    </row>
    <row r="117" spans="1:19" x14ac:dyDescent="0.3">
      <c r="A117" s="12"/>
      <c r="B117" s="13"/>
      <c r="C117" s="5"/>
      <c r="D117" s="5"/>
      <c r="E117" s="5"/>
      <c r="F117" s="5"/>
      <c r="G117" s="14"/>
      <c r="H117" s="14"/>
      <c r="I117" s="5"/>
      <c r="J117" s="5"/>
      <c r="K117" s="15"/>
      <c r="L117" s="16"/>
      <c r="M117" s="16"/>
      <c r="N117" s="16"/>
      <c r="O117" s="16"/>
      <c r="P117" s="17"/>
      <c r="Q117" s="16"/>
      <c r="R117" s="16"/>
      <c r="S117" s="18"/>
    </row>
    <row r="118" spans="1:19" x14ac:dyDescent="0.3">
      <c r="A118" s="12"/>
      <c r="B118" s="13"/>
      <c r="C118" s="5"/>
      <c r="D118" s="5"/>
      <c r="E118" s="5"/>
      <c r="F118" s="5"/>
      <c r="G118" s="14"/>
      <c r="H118" s="14"/>
      <c r="I118" s="5"/>
      <c r="J118" s="5"/>
      <c r="K118" s="15"/>
      <c r="L118" s="16"/>
      <c r="M118" s="16"/>
      <c r="N118" s="16"/>
      <c r="O118" s="16"/>
      <c r="P118" s="17"/>
      <c r="Q118" s="16"/>
      <c r="R118" s="16"/>
      <c r="S118" s="18"/>
    </row>
    <row r="119" spans="1:19" x14ac:dyDescent="0.3">
      <c r="A119" s="12"/>
      <c r="B119" s="13"/>
      <c r="C119" s="5"/>
      <c r="D119" s="5"/>
      <c r="E119" s="5"/>
      <c r="F119" s="5"/>
      <c r="G119" s="14"/>
      <c r="H119" s="14"/>
      <c r="I119" s="5"/>
      <c r="J119" s="5"/>
      <c r="K119" s="15"/>
      <c r="L119" s="16"/>
      <c r="M119" s="16"/>
      <c r="N119" s="16"/>
      <c r="O119" s="16"/>
      <c r="P119" s="17"/>
      <c r="Q119" s="16"/>
      <c r="R119" s="16"/>
      <c r="S119" s="18"/>
    </row>
    <row r="120" spans="1:19" x14ac:dyDescent="0.3">
      <c r="A120" s="12"/>
      <c r="B120" s="13"/>
      <c r="C120" s="5"/>
      <c r="D120" s="5"/>
      <c r="E120" s="5"/>
      <c r="F120" s="5"/>
      <c r="G120" s="14"/>
      <c r="H120" s="14"/>
      <c r="I120" s="5"/>
      <c r="J120" s="5"/>
      <c r="K120" s="15"/>
      <c r="L120" s="16"/>
      <c r="M120" s="16"/>
      <c r="N120" s="16"/>
      <c r="O120" s="16"/>
      <c r="P120" s="17"/>
      <c r="Q120" s="16"/>
      <c r="R120" s="16"/>
      <c r="S120" s="18"/>
    </row>
    <row r="121" spans="1:19" x14ac:dyDescent="0.3">
      <c r="A121" s="12"/>
      <c r="B121" s="13"/>
      <c r="C121" s="5"/>
      <c r="D121" s="5"/>
      <c r="E121" s="5"/>
      <c r="F121" s="5"/>
      <c r="G121" s="14"/>
      <c r="H121" s="14"/>
      <c r="I121" s="5"/>
      <c r="J121" s="5"/>
      <c r="K121" s="15"/>
      <c r="L121" s="16"/>
      <c r="M121" s="16"/>
      <c r="N121" s="16"/>
      <c r="O121" s="16"/>
      <c r="P121" s="17"/>
      <c r="Q121" s="16"/>
      <c r="R121" s="16"/>
      <c r="S121" s="18"/>
    </row>
    <row r="122" spans="1:19" x14ac:dyDescent="0.3">
      <c r="A122" s="12"/>
      <c r="B122" s="13"/>
      <c r="C122" s="5"/>
      <c r="D122" s="5"/>
      <c r="E122" s="5"/>
      <c r="F122" s="5"/>
      <c r="G122" s="14"/>
      <c r="H122" s="14"/>
      <c r="I122" s="5"/>
      <c r="J122" s="5"/>
      <c r="K122" s="15"/>
      <c r="L122" s="16"/>
      <c r="M122" s="16"/>
      <c r="N122" s="16"/>
      <c r="O122" s="16"/>
      <c r="P122" s="17"/>
      <c r="Q122" s="16"/>
      <c r="R122" s="16"/>
      <c r="S122" s="18"/>
    </row>
    <row r="123" spans="1:19" x14ac:dyDescent="0.3">
      <c r="A123" s="12"/>
      <c r="B123" s="13"/>
      <c r="C123" s="5"/>
      <c r="D123" s="5"/>
      <c r="E123" s="5"/>
      <c r="F123" s="5"/>
      <c r="G123" s="14"/>
      <c r="H123" s="14"/>
      <c r="I123" s="5"/>
      <c r="J123" s="5"/>
      <c r="K123" s="15"/>
      <c r="L123" s="16"/>
      <c r="M123" s="16"/>
      <c r="N123" s="16"/>
      <c r="O123" s="16"/>
      <c r="P123" s="17"/>
      <c r="Q123" s="16"/>
      <c r="R123" s="16"/>
      <c r="S123" s="18"/>
    </row>
    <row r="124" spans="1:19" x14ac:dyDescent="0.3">
      <c r="A124" s="12"/>
      <c r="B124" s="13"/>
      <c r="C124" s="5"/>
      <c r="D124" s="5"/>
      <c r="E124" s="5"/>
      <c r="F124" s="5"/>
      <c r="G124" s="14"/>
      <c r="H124" s="14"/>
      <c r="I124" s="5"/>
      <c r="J124" s="5"/>
      <c r="K124" s="15"/>
      <c r="L124" s="16"/>
      <c r="M124" s="16"/>
      <c r="N124" s="16"/>
      <c r="O124" s="16"/>
      <c r="P124" s="17"/>
      <c r="Q124" s="16"/>
      <c r="R124" s="16"/>
      <c r="S124" s="18"/>
    </row>
    <row r="125" spans="1:19" x14ac:dyDescent="0.3">
      <c r="A125" s="12"/>
      <c r="B125" s="13"/>
      <c r="C125" s="5"/>
      <c r="D125" s="5"/>
      <c r="E125" s="5"/>
      <c r="F125" s="5"/>
      <c r="G125" s="14"/>
      <c r="H125" s="14"/>
      <c r="I125" s="5"/>
      <c r="J125" s="5"/>
      <c r="K125" s="15"/>
      <c r="L125" s="16"/>
      <c r="M125" s="16"/>
      <c r="N125" s="16"/>
      <c r="O125" s="16"/>
      <c r="P125" s="17"/>
      <c r="Q125" s="16"/>
      <c r="R125" s="16"/>
      <c r="S125" s="18"/>
    </row>
    <row r="126" spans="1:19" x14ac:dyDescent="0.3">
      <c r="A126" s="12"/>
      <c r="B126" s="13"/>
      <c r="C126" s="5"/>
      <c r="D126" s="5"/>
      <c r="E126" s="5"/>
      <c r="F126" s="5"/>
      <c r="G126" s="14"/>
      <c r="H126" s="14"/>
      <c r="I126" s="5"/>
      <c r="J126" s="5"/>
      <c r="K126" s="15"/>
      <c r="L126" s="16"/>
      <c r="M126" s="16"/>
      <c r="N126" s="16"/>
      <c r="O126" s="16"/>
      <c r="P126" s="17"/>
      <c r="Q126" s="16"/>
      <c r="R126" s="16"/>
      <c r="S126" s="18"/>
    </row>
    <row r="127" spans="1:19" x14ac:dyDescent="0.3">
      <c r="A127" s="12"/>
      <c r="B127" s="13"/>
      <c r="C127" s="5"/>
      <c r="D127" s="5"/>
      <c r="E127" s="5"/>
      <c r="F127" s="5"/>
      <c r="G127" s="14"/>
      <c r="H127" s="14"/>
      <c r="I127" s="5"/>
      <c r="J127" s="5"/>
      <c r="K127" s="15"/>
      <c r="L127" s="16"/>
      <c r="M127" s="16"/>
      <c r="N127" s="16"/>
      <c r="O127" s="16"/>
      <c r="P127" s="17"/>
      <c r="Q127" s="16"/>
      <c r="R127" s="16"/>
      <c r="S127" s="18"/>
    </row>
    <row r="128" spans="1:19" x14ac:dyDescent="0.3">
      <c r="A128" s="12"/>
      <c r="B128" s="13"/>
      <c r="C128" s="5"/>
      <c r="D128" s="5"/>
      <c r="E128" s="5"/>
      <c r="F128" s="5"/>
      <c r="G128" s="14"/>
      <c r="H128" s="14"/>
      <c r="I128" s="5"/>
      <c r="J128" s="5"/>
      <c r="K128" s="15"/>
      <c r="L128" s="16"/>
      <c r="M128" s="16"/>
      <c r="N128" s="16"/>
      <c r="O128" s="16"/>
      <c r="P128" s="17"/>
      <c r="Q128" s="16"/>
      <c r="R128" s="16"/>
      <c r="S128" s="18"/>
    </row>
    <row r="129" spans="1:19" x14ac:dyDescent="0.3">
      <c r="A129" s="12"/>
      <c r="B129" s="13"/>
      <c r="C129" s="5"/>
      <c r="D129" s="5"/>
      <c r="E129" s="5"/>
      <c r="F129" s="5"/>
      <c r="G129" s="14"/>
      <c r="H129" s="14"/>
      <c r="I129" s="5"/>
      <c r="J129" s="5"/>
      <c r="K129" s="15"/>
      <c r="L129" s="16"/>
      <c r="M129" s="16"/>
      <c r="N129" s="16"/>
      <c r="O129" s="16"/>
      <c r="P129" s="17"/>
      <c r="Q129" s="16"/>
      <c r="R129" s="16"/>
      <c r="S129" s="18"/>
    </row>
    <row r="130" spans="1:19" x14ac:dyDescent="0.3">
      <c r="A130" s="12"/>
      <c r="B130" s="13"/>
      <c r="C130" s="5"/>
      <c r="D130" s="5"/>
      <c r="E130" s="5"/>
      <c r="F130" s="5"/>
      <c r="G130" s="14"/>
      <c r="H130" s="14"/>
      <c r="I130" s="5"/>
      <c r="J130" s="5"/>
      <c r="K130" s="15"/>
      <c r="L130" s="16"/>
      <c r="M130" s="16"/>
      <c r="N130" s="16"/>
      <c r="O130" s="16"/>
      <c r="P130" s="17"/>
      <c r="Q130" s="16"/>
      <c r="R130" s="16"/>
      <c r="S130" s="18"/>
    </row>
    <row r="131" spans="1:19" x14ac:dyDescent="0.3">
      <c r="A131" s="12"/>
      <c r="B131" s="13"/>
      <c r="C131" s="5"/>
      <c r="D131" s="5"/>
      <c r="E131" s="5"/>
      <c r="F131" s="5"/>
      <c r="G131" s="14"/>
      <c r="H131" s="14"/>
      <c r="I131" s="5"/>
      <c r="J131" s="5"/>
      <c r="K131" s="15"/>
      <c r="L131" s="16"/>
      <c r="M131" s="16"/>
      <c r="N131" s="16"/>
      <c r="O131" s="16"/>
      <c r="P131" s="17"/>
      <c r="Q131" s="16"/>
      <c r="R131" s="16"/>
      <c r="S131" s="18"/>
    </row>
    <row r="132" spans="1:19" x14ac:dyDescent="0.3">
      <c r="A132" s="12"/>
      <c r="B132" s="13"/>
      <c r="C132" s="5"/>
      <c r="D132" s="5"/>
      <c r="E132" s="5"/>
      <c r="F132" s="5"/>
      <c r="G132" s="14"/>
      <c r="H132" s="14"/>
      <c r="I132" s="5"/>
      <c r="J132" s="5"/>
      <c r="K132" s="15"/>
      <c r="L132" s="16"/>
      <c r="M132" s="16"/>
      <c r="N132" s="16"/>
      <c r="O132" s="16"/>
      <c r="P132" s="17"/>
      <c r="Q132" s="16"/>
      <c r="R132" s="16"/>
      <c r="S132" s="18"/>
    </row>
    <row r="133" spans="1:19" x14ac:dyDescent="0.3">
      <c r="A133" s="12"/>
      <c r="B133" s="13"/>
      <c r="C133" s="5"/>
      <c r="D133" s="5"/>
      <c r="E133" s="5"/>
      <c r="F133" s="5"/>
      <c r="G133" s="14"/>
      <c r="H133" s="14"/>
      <c r="I133" s="5"/>
      <c r="J133" s="5"/>
      <c r="K133" s="15"/>
      <c r="L133" s="16"/>
      <c r="M133" s="16"/>
      <c r="N133" s="16"/>
      <c r="O133" s="16"/>
      <c r="P133" s="17"/>
      <c r="Q133" s="16"/>
      <c r="R133" s="16"/>
      <c r="S133" s="18"/>
    </row>
    <row r="134" spans="1:19" x14ac:dyDescent="0.3">
      <c r="A134" s="12"/>
      <c r="B134" s="13"/>
      <c r="C134" s="5"/>
      <c r="D134" s="5"/>
      <c r="E134" s="5"/>
      <c r="F134" s="5"/>
      <c r="G134" s="14"/>
      <c r="H134" s="14"/>
      <c r="I134" s="5"/>
      <c r="J134" s="5"/>
      <c r="K134" s="15"/>
      <c r="L134" s="16"/>
      <c r="M134" s="16"/>
      <c r="N134" s="16"/>
      <c r="O134" s="16"/>
      <c r="P134" s="17"/>
      <c r="Q134" s="16"/>
      <c r="R134" s="16"/>
      <c r="S134" s="18"/>
    </row>
    <row r="135" spans="1:19" x14ac:dyDescent="0.3">
      <c r="A135" s="12"/>
      <c r="B135" s="13"/>
      <c r="C135" s="5"/>
      <c r="D135" s="5"/>
      <c r="E135" s="5"/>
      <c r="F135" s="5"/>
      <c r="G135" s="14"/>
      <c r="H135" s="14"/>
      <c r="I135" s="5"/>
      <c r="J135" s="5"/>
      <c r="K135" s="15"/>
      <c r="L135" s="16"/>
      <c r="M135" s="16"/>
      <c r="N135" s="16"/>
      <c r="O135" s="16"/>
      <c r="P135" s="17"/>
      <c r="Q135" s="16"/>
      <c r="R135" s="16"/>
      <c r="S135" s="18"/>
    </row>
    <row r="136" spans="1:19" x14ac:dyDescent="0.3">
      <c r="A136" s="12"/>
      <c r="B136" s="13"/>
      <c r="C136" s="5"/>
      <c r="D136" s="5"/>
      <c r="E136" s="5"/>
      <c r="F136" s="5"/>
      <c r="G136" s="14"/>
      <c r="H136" s="14"/>
      <c r="I136" s="5"/>
      <c r="J136" s="5"/>
      <c r="K136" s="15"/>
      <c r="L136" s="16"/>
      <c r="M136" s="16"/>
      <c r="N136" s="16"/>
      <c r="O136" s="16"/>
      <c r="P136" s="17"/>
      <c r="Q136" s="16"/>
      <c r="R136" s="16"/>
      <c r="S136" s="18"/>
    </row>
    <row r="137" spans="1:19" x14ac:dyDescent="0.3">
      <c r="A137" s="12"/>
      <c r="B137" s="13"/>
      <c r="C137" s="5"/>
      <c r="D137" s="5"/>
      <c r="E137" s="5"/>
      <c r="F137" s="5"/>
      <c r="G137" s="14"/>
      <c r="H137" s="14"/>
      <c r="I137" s="5"/>
      <c r="J137" s="5"/>
      <c r="K137" s="15"/>
      <c r="L137" s="16"/>
      <c r="M137" s="16"/>
      <c r="N137" s="16"/>
      <c r="O137" s="16"/>
      <c r="P137" s="17"/>
      <c r="Q137" s="16"/>
      <c r="R137" s="16"/>
      <c r="S137" s="18"/>
    </row>
    <row r="138" spans="1:19" x14ac:dyDescent="0.3">
      <c r="A138" s="12"/>
      <c r="B138" s="13"/>
      <c r="C138" s="5"/>
      <c r="D138" s="5"/>
      <c r="E138" s="5"/>
      <c r="F138" s="5"/>
      <c r="G138" s="14"/>
      <c r="H138" s="14"/>
      <c r="I138" s="5"/>
      <c r="J138" s="5"/>
      <c r="K138" s="15"/>
      <c r="L138" s="16"/>
      <c r="M138" s="16"/>
      <c r="N138" s="16"/>
      <c r="O138" s="16"/>
      <c r="P138" s="17"/>
      <c r="Q138" s="16"/>
      <c r="R138" s="16"/>
      <c r="S138" s="18"/>
    </row>
    <row r="139" spans="1:19" x14ac:dyDescent="0.3">
      <c r="A139" s="12"/>
      <c r="B139" s="13"/>
      <c r="C139" s="5"/>
      <c r="D139" s="5"/>
      <c r="E139" s="5"/>
      <c r="F139" s="5"/>
      <c r="G139" s="14"/>
      <c r="H139" s="14"/>
      <c r="I139" s="5"/>
      <c r="J139" s="5"/>
      <c r="K139" s="15"/>
      <c r="L139" s="16"/>
      <c r="M139" s="16"/>
      <c r="N139" s="16"/>
      <c r="O139" s="16"/>
      <c r="P139" s="17"/>
      <c r="Q139" s="16"/>
      <c r="R139" s="16"/>
      <c r="S139" s="18"/>
    </row>
    <row r="140" spans="1:19" x14ac:dyDescent="0.3">
      <c r="A140" s="12"/>
      <c r="B140" s="13"/>
      <c r="C140" s="5"/>
      <c r="D140" s="5"/>
      <c r="E140" s="5"/>
      <c r="F140" s="5"/>
      <c r="G140" s="14"/>
      <c r="H140" s="14"/>
      <c r="I140" s="5"/>
      <c r="J140" s="5"/>
      <c r="K140" s="15"/>
      <c r="L140" s="16"/>
      <c r="M140" s="16"/>
      <c r="N140" s="16"/>
      <c r="O140" s="16"/>
      <c r="P140" s="17"/>
      <c r="Q140" s="16"/>
      <c r="R140" s="16"/>
      <c r="S140" s="18"/>
    </row>
    <row r="141" spans="1:19" x14ac:dyDescent="0.3">
      <c r="A141" s="12"/>
      <c r="B141" s="13"/>
      <c r="C141" s="5"/>
      <c r="D141" s="5"/>
      <c r="E141" s="5"/>
      <c r="F141" s="5"/>
      <c r="G141" s="14"/>
      <c r="H141" s="14"/>
      <c r="I141" s="5"/>
      <c r="J141" s="5"/>
      <c r="K141" s="15"/>
      <c r="L141" s="16"/>
      <c r="M141" s="16"/>
      <c r="N141" s="16"/>
      <c r="O141" s="16"/>
      <c r="P141" s="17"/>
      <c r="Q141" s="16"/>
      <c r="R141" s="16"/>
      <c r="S141" s="18"/>
    </row>
    <row r="142" spans="1:19" x14ac:dyDescent="0.3">
      <c r="A142" s="12"/>
      <c r="B142" s="13"/>
      <c r="C142" s="5"/>
      <c r="D142" s="5"/>
      <c r="E142" s="5"/>
      <c r="F142" s="5"/>
      <c r="G142" s="14"/>
      <c r="H142" s="14"/>
      <c r="I142" s="5"/>
      <c r="J142" s="5"/>
      <c r="K142" s="15"/>
      <c r="L142" s="16"/>
      <c r="M142" s="16"/>
      <c r="N142" s="16"/>
      <c r="O142" s="16"/>
      <c r="P142" s="17"/>
      <c r="Q142" s="16"/>
      <c r="R142" s="16"/>
      <c r="S142" s="18"/>
    </row>
    <row r="143" spans="1:19" x14ac:dyDescent="0.3">
      <c r="A143" s="12"/>
      <c r="B143" s="13"/>
      <c r="C143" s="5"/>
      <c r="D143" s="5"/>
      <c r="E143" s="5"/>
      <c r="F143" s="5"/>
      <c r="G143" s="14"/>
      <c r="H143" s="14"/>
      <c r="I143" s="5"/>
      <c r="J143" s="5"/>
      <c r="K143" s="15"/>
      <c r="L143" s="16"/>
      <c r="M143" s="16"/>
      <c r="N143" s="16"/>
      <c r="O143" s="16"/>
      <c r="P143" s="17"/>
      <c r="Q143" s="16"/>
      <c r="R143" s="16"/>
      <c r="S143" s="18"/>
    </row>
    <row r="144" spans="1:19" x14ac:dyDescent="0.3">
      <c r="A144" s="12"/>
      <c r="B144" s="13"/>
      <c r="C144" s="5"/>
      <c r="D144" s="5"/>
      <c r="E144" s="5"/>
      <c r="F144" s="5"/>
      <c r="G144" s="14"/>
      <c r="H144" s="14"/>
      <c r="I144" s="5"/>
      <c r="J144" s="5"/>
      <c r="K144" s="15"/>
      <c r="L144" s="16"/>
      <c r="M144" s="16"/>
      <c r="N144" s="16"/>
      <c r="O144" s="16"/>
      <c r="P144" s="17"/>
      <c r="Q144" s="16"/>
      <c r="R144" s="16"/>
      <c r="S144" s="18"/>
    </row>
    <row r="145" spans="1:19" x14ac:dyDescent="0.3">
      <c r="A145" s="12"/>
      <c r="B145" s="13"/>
      <c r="C145" s="5"/>
      <c r="D145" s="5"/>
      <c r="E145" s="5"/>
      <c r="F145" s="5"/>
      <c r="G145" s="14"/>
      <c r="H145" s="14"/>
      <c r="I145" s="5"/>
      <c r="J145" s="5"/>
      <c r="K145" s="15"/>
      <c r="L145" s="16"/>
      <c r="M145" s="16"/>
      <c r="N145" s="16"/>
      <c r="O145" s="16"/>
      <c r="P145" s="17"/>
      <c r="Q145" s="16"/>
      <c r="R145" s="16"/>
      <c r="S145" s="18"/>
    </row>
    <row r="146" spans="1:19" x14ac:dyDescent="0.3">
      <c r="A146" s="12"/>
      <c r="B146" s="13"/>
      <c r="C146" s="5"/>
      <c r="D146" s="5"/>
      <c r="E146" s="5"/>
      <c r="F146" s="5"/>
      <c r="G146" s="14"/>
      <c r="H146" s="14"/>
      <c r="I146" s="5"/>
      <c r="J146" s="5"/>
      <c r="K146" s="15"/>
      <c r="L146" s="16"/>
      <c r="M146" s="16"/>
      <c r="N146" s="16"/>
      <c r="O146" s="16"/>
      <c r="P146" s="17"/>
      <c r="Q146" s="16"/>
      <c r="R146" s="16"/>
      <c r="S146" s="18"/>
    </row>
    <row r="147" spans="1:19" x14ac:dyDescent="0.3">
      <c r="A147" s="12"/>
      <c r="B147" s="13"/>
      <c r="C147" s="5"/>
      <c r="D147" s="5"/>
      <c r="E147" s="5"/>
      <c r="F147" s="5"/>
      <c r="G147" s="14"/>
      <c r="H147" s="14"/>
      <c r="I147" s="5"/>
      <c r="J147" s="5"/>
      <c r="K147" s="15"/>
      <c r="L147" s="16"/>
      <c r="M147" s="16"/>
      <c r="N147" s="16"/>
      <c r="O147" s="16"/>
      <c r="P147" s="17"/>
      <c r="Q147" s="16"/>
      <c r="R147" s="16"/>
      <c r="S147" s="18"/>
    </row>
    <row r="148" spans="1:19" x14ac:dyDescent="0.3">
      <c r="A148" s="12"/>
      <c r="B148" s="13"/>
      <c r="C148" s="5"/>
      <c r="D148" s="5"/>
      <c r="E148" s="5"/>
      <c r="F148" s="5"/>
      <c r="G148" s="14"/>
      <c r="H148" s="14"/>
      <c r="I148" s="5"/>
      <c r="J148" s="5"/>
      <c r="K148" s="15"/>
      <c r="L148" s="16"/>
      <c r="M148" s="16"/>
      <c r="N148" s="16"/>
      <c r="O148" s="16"/>
      <c r="P148" s="17"/>
      <c r="Q148" s="16"/>
      <c r="R148" s="16"/>
      <c r="S148" s="18"/>
    </row>
    <row r="149" spans="1:19" x14ac:dyDescent="0.3">
      <c r="A149" s="12"/>
      <c r="B149" s="13"/>
      <c r="C149" s="5"/>
      <c r="D149" s="5"/>
      <c r="E149" s="5"/>
      <c r="F149" s="5"/>
      <c r="G149" s="14"/>
      <c r="H149" s="14"/>
      <c r="I149" s="5"/>
      <c r="J149" s="5"/>
      <c r="K149" s="15"/>
      <c r="L149" s="16"/>
      <c r="M149" s="16"/>
      <c r="N149" s="16"/>
      <c r="O149" s="16"/>
      <c r="P149" s="17"/>
      <c r="Q149" s="16"/>
      <c r="R149" s="16"/>
      <c r="S149" s="18"/>
    </row>
    <row r="150" spans="1:19" x14ac:dyDescent="0.3">
      <c r="A150" s="12"/>
      <c r="B150" s="13"/>
      <c r="C150" s="5"/>
      <c r="D150" s="5"/>
      <c r="E150" s="5"/>
      <c r="F150" s="5"/>
      <c r="G150" s="14"/>
      <c r="H150" s="14"/>
      <c r="I150" s="5"/>
      <c r="J150" s="5"/>
      <c r="K150" s="15"/>
      <c r="L150" s="16"/>
      <c r="M150" s="16"/>
      <c r="N150" s="16"/>
      <c r="O150" s="16"/>
      <c r="P150" s="17"/>
      <c r="Q150" s="16"/>
      <c r="R150" s="16"/>
      <c r="S150" s="18"/>
    </row>
    <row r="151" spans="1:19" x14ac:dyDescent="0.3">
      <c r="A151" s="12"/>
      <c r="B151" s="13"/>
      <c r="C151" s="5"/>
      <c r="D151" s="5"/>
      <c r="E151" s="5"/>
      <c r="F151" s="5"/>
      <c r="G151" s="14"/>
      <c r="H151" s="14"/>
      <c r="I151" s="5"/>
      <c r="J151" s="5"/>
      <c r="K151" s="15"/>
      <c r="L151" s="16"/>
      <c r="M151" s="16"/>
      <c r="N151" s="16"/>
      <c r="O151" s="16"/>
      <c r="P151" s="17"/>
      <c r="Q151" s="16"/>
      <c r="R151" s="16"/>
      <c r="S151" s="18"/>
    </row>
    <row r="152" spans="1:19" x14ac:dyDescent="0.3">
      <c r="A152" s="12"/>
      <c r="B152" s="13"/>
      <c r="C152" s="5"/>
      <c r="D152" s="5"/>
      <c r="E152" s="5"/>
      <c r="F152" s="5"/>
      <c r="G152" s="14"/>
      <c r="H152" s="14"/>
      <c r="I152" s="5"/>
      <c r="J152" s="5"/>
      <c r="K152" s="15"/>
      <c r="L152" s="16"/>
      <c r="M152" s="16"/>
      <c r="N152" s="16"/>
      <c r="O152" s="16"/>
      <c r="P152" s="17"/>
      <c r="Q152" s="16"/>
      <c r="R152" s="16"/>
      <c r="S152" s="18"/>
    </row>
    <row r="153" spans="1:19" x14ac:dyDescent="0.3">
      <c r="A153" s="12"/>
      <c r="B153" s="13"/>
      <c r="C153" s="5"/>
      <c r="D153" s="5"/>
      <c r="E153" s="5"/>
      <c r="F153" s="5"/>
      <c r="G153" s="14"/>
      <c r="H153" s="14"/>
      <c r="I153" s="5"/>
      <c r="J153" s="5"/>
      <c r="K153" s="15"/>
      <c r="L153" s="16"/>
      <c r="M153" s="16"/>
      <c r="N153" s="16"/>
      <c r="O153" s="16"/>
      <c r="P153" s="17"/>
      <c r="Q153" s="16"/>
      <c r="R153" s="16"/>
      <c r="S153" s="18"/>
    </row>
    <row r="154" spans="1:19" x14ac:dyDescent="0.3">
      <c r="A154" s="12"/>
      <c r="B154" s="13"/>
      <c r="C154" s="5"/>
      <c r="D154" s="5"/>
      <c r="E154" s="5"/>
      <c r="F154" s="5"/>
      <c r="G154" s="14"/>
      <c r="H154" s="14"/>
      <c r="I154" s="5"/>
      <c r="J154" s="5"/>
      <c r="K154" s="15"/>
      <c r="L154" s="16"/>
      <c r="M154" s="16"/>
      <c r="N154" s="16"/>
      <c r="O154" s="16"/>
      <c r="P154" s="17"/>
      <c r="Q154" s="16"/>
      <c r="R154" s="16"/>
      <c r="S154" s="18"/>
    </row>
    <row r="155" spans="1:19" x14ac:dyDescent="0.3">
      <c r="A155" s="12"/>
      <c r="B155" s="13"/>
      <c r="C155" s="5"/>
      <c r="D155" s="5"/>
      <c r="E155" s="5"/>
      <c r="F155" s="5"/>
      <c r="G155" s="14"/>
      <c r="H155" s="14"/>
      <c r="I155" s="5"/>
      <c r="J155" s="5"/>
      <c r="K155" s="15"/>
      <c r="L155" s="16"/>
      <c r="M155" s="16"/>
      <c r="N155" s="16"/>
      <c r="O155" s="16"/>
      <c r="P155" s="17"/>
      <c r="Q155" s="16"/>
      <c r="R155" s="16"/>
      <c r="S155" s="18"/>
    </row>
    <row r="156" spans="1:19" x14ac:dyDescent="0.3">
      <c r="A156" s="12"/>
      <c r="B156" s="13"/>
      <c r="C156" s="5"/>
      <c r="D156" s="5"/>
      <c r="E156" s="5"/>
      <c r="F156" s="5"/>
      <c r="G156" s="14"/>
      <c r="H156" s="14"/>
      <c r="I156" s="5"/>
      <c r="J156" s="5"/>
      <c r="K156" s="15"/>
      <c r="L156" s="16"/>
      <c r="M156" s="16"/>
      <c r="N156" s="16"/>
      <c r="O156" s="16"/>
      <c r="P156" s="17"/>
      <c r="Q156" s="16"/>
      <c r="R156" s="16"/>
      <c r="S156" s="18"/>
    </row>
    <row r="157" spans="1:19" x14ac:dyDescent="0.3">
      <c r="A157" s="12"/>
      <c r="B157" s="13"/>
      <c r="C157" s="5"/>
      <c r="D157" s="5"/>
      <c r="E157" s="5"/>
      <c r="F157" s="5"/>
      <c r="G157" s="14"/>
      <c r="H157" s="14"/>
      <c r="I157" s="5"/>
      <c r="J157" s="5"/>
      <c r="K157" s="15"/>
      <c r="L157" s="16"/>
      <c r="M157" s="16"/>
      <c r="N157" s="16"/>
      <c r="O157" s="16"/>
      <c r="P157" s="17"/>
      <c r="Q157" s="16"/>
      <c r="R157" s="16"/>
      <c r="S157" s="18"/>
    </row>
    <row r="158" spans="1:19" x14ac:dyDescent="0.3">
      <c r="A158" s="12"/>
      <c r="B158" s="13"/>
      <c r="C158" s="5"/>
      <c r="D158" s="5"/>
      <c r="E158" s="5"/>
      <c r="F158" s="5"/>
      <c r="G158" s="14"/>
      <c r="H158" s="14"/>
      <c r="I158" s="5"/>
      <c r="J158" s="5"/>
      <c r="K158" s="15"/>
      <c r="L158" s="16"/>
      <c r="M158" s="16"/>
      <c r="N158" s="16"/>
      <c r="O158" s="16"/>
      <c r="P158" s="17"/>
      <c r="Q158" s="16"/>
      <c r="R158" s="16"/>
      <c r="S158" s="18"/>
    </row>
    <row r="159" spans="1:19" x14ac:dyDescent="0.3">
      <c r="A159" s="12"/>
      <c r="B159" s="13"/>
      <c r="C159" s="5"/>
      <c r="D159" s="5"/>
      <c r="E159" s="5"/>
      <c r="F159" s="5"/>
      <c r="G159" s="14"/>
      <c r="H159" s="14"/>
      <c r="I159" s="5"/>
      <c r="J159" s="5"/>
      <c r="K159" s="15"/>
      <c r="L159" s="16"/>
      <c r="M159" s="16"/>
      <c r="N159" s="16"/>
      <c r="O159" s="16"/>
      <c r="P159" s="17"/>
      <c r="Q159" s="16"/>
      <c r="R159" s="16"/>
      <c r="S159" s="18"/>
    </row>
    <row r="160" spans="1:19" x14ac:dyDescent="0.3">
      <c r="A160" s="12"/>
      <c r="B160" s="13"/>
      <c r="C160" s="5"/>
      <c r="D160" s="5"/>
      <c r="E160" s="5"/>
      <c r="F160" s="5"/>
      <c r="G160" s="14"/>
      <c r="H160" s="14"/>
      <c r="I160" s="5"/>
      <c r="J160" s="5"/>
      <c r="K160" s="15"/>
      <c r="L160" s="16"/>
      <c r="M160" s="16"/>
      <c r="N160" s="16"/>
      <c r="O160" s="16"/>
      <c r="P160" s="17"/>
      <c r="Q160" s="16"/>
      <c r="R160" s="16"/>
      <c r="S160" s="18"/>
    </row>
    <row r="161" spans="1:19" x14ac:dyDescent="0.3">
      <c r="A161" s="12"/>
      <c r="B161" s="13"/>
      <c r="C161" s="5"/>
      <c r="D161" s="5"/>
      <c r="E161" s="5"/>
      <c r="F161" s="5"/>
      <c r="G161" s="14"/>
      <c r="H161" s="14"/>
      <c r="I161" s="5"/>
      <c r="J161" s="5"/>
      <c r="K161" s="15"/>
      <c r="L161" s="16"/>
      <c r="M161" s="16"/>
      <c r="N161" s="16"/>
      <c r="O161" s="16"/>
      <c r="P161" s="17"/>
      <c r="Q161" s="16"/>
      <c r="R161" s="16"/>
      <c r="S161" s="18"/>
    </row>
    <row r="162" spans="1:19" x14ac:dyDescent="0.3">
      <c r="A162" s="12"/>
      <c r="B162" s="13"/>
      <c r="C162" s="5"/>
      <c r="D162" s="5"/>
      <c r="E162" s="5"/>
      <c r="F162" s="5"/>
      <c r="G162" s="14"/>
      <c r="H162" s="14"/>
      <c r="I162" s="5"/>
      <c r="J162" s="5"/>
      <c r="K162" s="15"/>
      <c r="L162" s="16"/>
      <c r="M162" s="16"/>
      <c r="N162" s="16"/>
      <c r="O162" s="16"/>
      <c r="P162" s="17"/>
      <c r="Q162" s="16"/>
      <c r="R162" s="16"/>
      <c r="S162" s="18"/>
    </row>
    <row r="163" spans="1:19" x14ac:dyDescent="0.3">
      <c r="A163" s="12"/>
      <c r="B163" s="13"/>
      <c r="C163" s="5"/>
      <c r="D163" s="5"/>
      <c r="E163" s="5"/>
      <c r="F163" s="5"/>
      <c r="G163" s="14"/>
      <c r="H163" s="14"/>
      <c r="I163" s="5"/>
      <c r="J163" s="5"/>
      <c r="K163" s="15"/>
      <c r="L163" s="16"/>
      <c r="M163" s="16"/>
      <c r="N163" s="16"/>
      <c r="O163" s="16"/>
      <c r="P163" s="17"/>
      <c r="Q163" s="16"/>
      <c r="R163" s="16"/>
      <c r="S163" s="18"/>
    </row>
    <row r="164" spans="1:19" x14ac:dyDescent="0.3">
      <c r="A164" s="12"/>
      <c r="B164" s="13"/>
      <c r="C164" s="5"/>
      <c r="D164" s="5"/>
      <c r="E164" s="5"/>
      <c r="F164" s="5"/>
      <c r="G164" s="14"/>
      <c r="H164" s="14"/>
      <c r="I164" s="5"/>
      <c r="J164" s="5"/>
      <c r="K164" s="15"/>
      <c r="L164" s="16"/>
      <c r="M164" s="16"/>
      <c r="N164" s="16"/>
      <c r="O164" s="16"/>
      <c r="P164" s="17"/>
      <c r="Q164" s="16"/>
      <c r="R164" s="16"/>
      <c r="S164" s="18"/>
    </row>
    <row r="165" spans="1:19" x14ac:dyDescent="0.3">
      <c r="A165" s="12"/>
      <c r="B165" s="13"/>
      <c r="C165" s="5"/>
      <c r="D165" s="5"/>
      <c r="E165" s="5"/>
      <c r="F165" s="5"/>
      <c r="G165" s="14"/>
      <c r="H165" s="14"/>
      <c r="I165" s="5"/>
      <c r="J165" s="5"/>
      <c r="K165" s="15"/>
      <c r="L165" s="16"/>
      <c r="M165" s="16"/>
      <c r="N165" s="16"/>
      <c r="O165" s="16"/>
      <c r="P165" s="17"/>
      <c r="Q165" s="16"/>
      <c r="R165" s="16"/>
      <c r="S165" s="18"/>
    </row>
    <row r="166" spans="1:19" x14ac:dyDescent="0.3">
      <c r="A166" s="12"/>
      <c r="B166" s="13"/>
      <c r="C166" s="5"/>
      <c r="D166" s="5"/>
      <c r="E166" s="5"/>
      <c r="F166" s="5"/>
      <c r="G166" s="14"/>
      <c r="H166" s="14"/>
      <c r="I166" s="5"/>
      <c r="J166" s="5"/>
      <c r="K166" s="15"/>
      <c r="L166" s="16"/>
      <c r="M166" s="16"/>
      <c r="N166" s="16"/>
      <c r="O166" s="16"/>
      <c r="P166" s="17"/>
      <c r="Q166" s="16"/>
      <c r="R166" s="16"/>
      <c r="S166" s="18"/>
    </row>
    <row r="167" spans="1:19" x14ac:dyDescent="0.3">
      <c r="A167" s="12"/>
      <c r="B167" s="13"/>
      <c r="C167" s="5"/>
      <c r="D167" s="5"/>
      <c r="E167" s="5"/>
      <c r="F167" s="5"/>
      <c r="G167" s="14"/>
      <c r="H167" s="14"/>
      <c r="I167" s="5"/>
      <c r="J167" s="5"/>
      <c r="K167" s="15"/>
      <c r="L167" s="16"/>
      <c r="M167" s="16"/>
      <c r="N167" s="16"/>
      <c r="O167" s="16"/>
      <c r="P167" s="17"/>
      <c r="Q167" s="16"/>
      <c r="R167" s="16"/>
      <c r="S167" s="18"/>
    </row>
    <row r="168" spans="1:19" x14ac:dyDescent="0.3">
      <c r="A168" s="12"/>
      <c r="B168" s="13"/>
      <c r="C168" s="5"/>
      <c r="D168" s="5"/>
      <c r="E168" s="5"/>
      <c r="F168" s="5"/>
      <c r="G168" s="14"/>
      <c r="H168" s="14"/>
      <c r="I168" s="5"/>
      <c r="J168" s="5"/>
      <c r="K168" s="15"/>
      <c r="L168" s="16"/>
      <c r="M168" s="16"/>
      <c r="N168" s="16"/>
      <c r="O168" s="16"/>
      <c r="P168" s="17"/>
      <c r="Q168" s="16"/>
      <c r="R168" s="16"/>
      <c r="S168" s="18"/>
    </row>
    <row r="169" spans="1:19" x14ac:dyDescent="0.3">
      <c r="A169" s="12"/>
      <c r="B169" s="13"/>
      <c r="C169" s="5"/>
      <c r="D169" s="5"/>
      <c r="E169" s="5"/>
      <c r="F169" s="5"/>
      <c r="G169" s="14"/>
      <c r="H169" s="14"/>
      <c r="I169" s="5"/>
      <c r="J169" s="5"/>
      <c r="K169" s="15"/>
      <c r="L169" s="16"/>
      <c r="M169" s="16"/>
      <c r="N169" s="16"/>
      <c r="O169" s="16"/>
      <c r="P169" s="17"/>
      <c r="Q169" s="16"/>
      <c r="R169" s="16"/>
      <c r="S169" s="18"/>
    </row>
    <row r="170" spans="1:19" x14ac:dyDescent="0.3">
      <c r="A170" s="12"/>
      <c r="B170" s="13"/>
      <c r="C170" s="5"/>
      <c r="D170" s="5"/>
      <c r="E170" s="5"/>
      <c r="F170" s="5"/>
      <c r="G170" s="14"/>
      <c r="H170" s="14"/>
      <c r="I170" s="5"/>
      <c r="J170" s="5"/>
      <c r="K170" s="15"/>
      <c r="L170" s="16"/>
      <c r="M170" s="16"/>
      <c r="N170" s="16"/>
      <c r="O170" s="16"/>
      <c r="P170" s="17"/>
      <c r="Q170" s="16"/>
      <c r="R170" s="16"/>
      <c r="S170" s="18"/>
    </row>
    <row r="171" spans="1:19" x14ac:dyDescent="0.3">
      <c r="A171" s="12"/>
      <c r="B171" s="13"/>
      <c r="C171" s="5"/>
      <c r="D171" s="5"/>
      <c r="E171" s="5"/>
      <c r="F171" s="5"/>
      <c r="G171" s="14"/>
      <c r="H171" s="14"/>
      <c r="I171" s="5"/>
      <c r="J171" s="5"/>
      <c r="K171" s="15"/>
      <c r="L171" s="16"/>
      <c r="M171" s="16"/>
      <c r="N171" s="16"/>
      <c r="O171" s="16"/>
      <c r="P171" s="17"/>
      <c r="Q171" s="16"/>
      <c r="R171" s="16"/>
      <c r="S171" s="18"/>
    </row>
    <row r="172" spans="1:19" x14ac:dyDescent="0.3">
      <c r="A172" s="12"/>
      <c r="B172" s="13"/>
      <c r="C172" s="5"/>
      <c r="D172" s="5"/>
      <c r="E172" s="5"/>
      <c r="F172" s="5"/>
      <c r="G172" s="14"/>
      <c r="H172" s="14"/>
      <c r="I172" s="5"/>
      <c r="J172" s="5"/>
      <c r="K172" s="15"/>
      <c r="L172" s="16"/>
      <c r="M172" s="16"/>
      <c r="N172" s="16"/>
      <c r="O172" s="16"/>
      <c r="P172" s="17"/>
      <c r="Q172" s="16"/>
      <c r="R172" s="16"/>
      <c r="S172" s="18"/>
    </row>
    <row r="173" spans="1:19" x14ac:dyDescent="0.3">
      <c r="A173" s="12"/>
      <c r="B173" s="13"/>
      <c r="C173" s="5"/>
      <c r="D173" s="5"/>
      <c r="E173" s="5"/>
      <c r="F173" s="5"/>
      <c r="G173" s="14"/>
      <c r="H173" s="14"/>
      <c r="I173" s="5"/>
      <c r="J173" s="5"/>
      <c r="K173" s="15"/>
      <c r="L173" s="16"/>
      <c r="M173" s="16"/>
      <c r="N173" s="16"/>
      <c r="O173" s="16"/>
      <c r="P173" s="17"/>
      <c r="Q173" s="16"/>
      <c r="R173" s="16"/>
      <c r="S173" s="18"/>
    </row>
    <row r="174" spans="1:19" x14ac:dyDescent="0.3">
      <c r="A174" s="12"/>
      <c r="B174" s="13"/>
      <c r="C174" s="5"/>
      <c r="D174" s="5"/>
      <c r="E174" s="5"/>
      <c r="F174" s="5"/>
      <c r="G174" s="14"/>
      <c r="H174" s="14"/>
      <c r="I174" s="5"/>
      <c r="J174" s="5"/>
      <c r="K174" s="15"/>
      <c r="L174" s="16"/>
      <c r="M174" s="16"/>
      <c r="N174" s="16"/>
      <c r="O174" s="16"/>
      <c r="P174" s="17"/>
      <c r="Q174" s="16"/>
      <c r="R174" s="16"/>
      <c r="S174" s="18"/>
    </row>
    <row r="175" spans="1:19" x14ac:dyDescent="0.3">
      <c r="A175" s="12"/>
      <c r="B175" s="13"/>
      <c r="C175" s="5"/>
      <c r="D175" s="5"/>
      <c r="E175" s="5"/>
      <c r="F175" s="5"/>
      <c r="G175" s="14"/>
      <c r="H175" s="14"/>
      <c r="I175" s="5"/>
      <c r="J175" s="5"/>
      <c r="K175" s="15"/>
      <c r="L175" s="16"/>
      <c r="M175" s="16"/>
      <c r="N175" s="16"/>
      <c r="O175" s="16"/>
      <c r="P175" s="17"/>
      <c r="Q175" s="16"/>
      <c r="R175" s="16"/>
      <c r="S175" s="18"/>
    </row>
    <row r="176" spans="1:19" x14ac:dyDescent="0.3">
      <c r="A176" s="12"/>
      <c r="B176" s="13"/>
      <c r="C176" s="5"/>
      <c r="D176" s="5"/>
      <c r="E176" s="5"/>
      <c r="F176" s="5"/>
      <c r="G176" s="14"/>
      <c r="H176" s="14"/>
      <c r="I176" s="5"/>
      <c r="J176" s="5"/>
      <c r="K176" s="15"/>
      <c r="L176" s="16"/>
      <c r="M176" s="16"/>
      <c r="N176" s="16"/>
      <c r="O176" s="16"/>
      <c r="P176" s="17"/>
      <c r="Q176" s="16"/>
      <c r="R176" s="16"/>
      <c r="S176" s="18"/>
    </row>
    <row r="177" spans="1:19" x14ac:dyDescent="0.3">
      <c r="A177" s="12"/>
      <c r="B177" s="13"/>
      <c r="C177" s="5"/>
      <c r="D177" s="5"/>
      <c r="E177" s="5"/>
      <c r="F177" s="5"/>
      <c r="G177" s="14"/>
      <c r="H177" s="14"/>
      <c r="I177" s="5"/>
      <c r="J177" s="5"/>
      <c r="K177" s="15"/>
      <c r="L177" s="16"/>
      <c r="M177" s="16"/>
      <c r="N177" s="16"/>
      <c r="O177" s="16"/>
      <c r="P177" s="17"/>
      <c r="Q177" s="16"/>
      <c r="R177" s="16"/>
      <c r="S177" s="18"/>
    </row>
    <row r="178" spans="1:19" x14ac:dyDescent="0.3">
      <c r="A178" s="12"/>
      <c r="B178" s="13"/>
      <c r="C178" s="5"/>
      <c r="D178" s="5"/>
      <c r="E178" s="5"/>
      <c r="F178" s="5"/>
      <c r="G178" s="14"/>
      <c r="H178" s="14"/>
      <c r="I178" s="5"/>
      <c r="J178" s="5"/>
      <c r="K178" s="15"/>
      <c r="L178" s="16"/>
      <c r="M178" s="16"/>
      <c r="N178" s="16"/>
      <c r="O178" s="16"/>
      <c r="P178" s="17"/>
      <c r="Q178" s="16"/>
      <c r="R178" s="16"/>
      <c r="S178" s="18"/>
    </row>
    <row r="179" spans="1:19" x14ac:dyDescent="0.3">
      <c r="A179" s="12"/>
      <c r="B179" s="13"/>
      <c r="C179" s="5"/>
      <c r="D179" s="5"/>
      <c r="E179" s="5"/>
      <c r="F179" s="5"/>
      <c r="G179" s="14"/>
      <c r="H179" s="14"/>
      <c r="I179" s="5"/>
      <c r="J179" s="5"/>
      <c r="K179" s="15"/>
      <c r="L179" s="16"/>
      <c r="M179" s="16"/>
      <c r="N179" s="16"/>
      <c r="O179" s="16"/>
      <c r="P179" s="17"/>
      <c r="Q179" s="16"/>
      <c r="R179" s="16"/>
      <c r="S179" s="18"/>
    </row>
    <row r="180" spans="1:19" x14ac:dyDescent="0.3">
      <c r="A180" s="12"/>
      <c r="B180" s="13"/>
      <c r="C180" s="5"/>
      <c r="D180" s="5"/>
      <c r="E180" s="5"/>
      <c r="F180" s="5"/>
      <c r="G180" s="14"/>
      <c r="H180" s="14"/>
      <c r="I180" s="5"/>
      <c r="J180" s="5"/>
      <c r="K180" s="15"/>
      <c r="L180" s="16"/>
      <c r="M180" s="16"/>
      <c r="N180" s="16"/>
      <c r="O180" s="16"/>
      <c r="P180" s="17"/>
      <c r="Q180" s="16"/>
      <c r="R180" s="16"/>
      <c r="S180" s="18"/>
    </row>
    <row r="181" spans="1:19" x14ac:dyDescent="0.3">
      <c r="A181" s="12"/>
      <c r="B181" s="13"/>
      <c r="C181" s="5"/>
      <c r="D181" s="5"/>
      <c r="E181" s="5"/>
      <c r="F181" s="5"/>
      <c r="G181" s="14"/>
      <c r="H181" s="14"/>
      <c r="I181" s="5"/>
      <c r="J181" s="5"/>
      <c r="K181" s="15"/>
      <c r="L181" s="16"/>
      <c r="M181" s="16"/>
      <c r="N181" s="16"/>
      <c r="O181" s="16"/>
      <c r="P181" s="17"/>
      <c r="Q181" s="16"/>
      <c r="R181" s="16"/>
      <c r="S181" s="18"/>
    </row>
    <row r="182" spans="1:19" x14ac:dyDescent="0.3">
      <c r="A182" s="12"/>
      <c r="B182" s="13"/>
      <c r="C182" s="5"/>
      <c r="D182" s="5"/>
      <c r="E182" s="5"/>
      <c r="F182" s="5"/>
      <c r="G182" s="14"/>
      <c r="H182" s="14"/>
      <c r="I182" s="5"/>
      <c r="J182" s="5"/>
      <c r="K182" s="15"/>
      <c r="L182" s="16"/>
      <c r="M182" s="16"/>
      <c r="N182" s="16"/>
      <c r="O182" s="16"/>
      <c r="P182" s="17"/>
      <c r="Q182" s="16"/>
      <c r="R182" s="16"/>
      <c r="S182" s="18"/>
    </row>
    <row r="183" spans="1:19" x14ac:dyDescent="0.3">
      <c r="A183" s="12"/>
      <c r="B183" s="13"/>
      <c r="C183" s="5"/>
      <c r="D183" s="5"/>
      <c r="E183" s="5"/>
      <c r="F183" s="5"/>
      <c r="G183" s="14"/>
      <c r="H183" s="14"/>
      <c r="I183" s="5"/>
      <c r="J183" s="5"/>
      <c r="K183" s="15"/>
      <c r="L183" s="16"/>
      <c r="M183" s="16"/>
      <c r="N183" s="16"/>
      <c r="O183" s="16"/>
      <c r="P183" s="17"/>
      <c r="Q183" s="16"/>
      <c r="R183" s="16"/>
      <c r="S183" s="18"/>
    </row>
    <row r="184" spans="1:19" x14ac:dyDescent="0.3">
      <c r="A184" s="12"/>
      <c r="B184" s="13"/>
      <c r="C184" s="5"/>
      <c r="D184" s="5"/>
      <c r="E184" s="5"/>
      <c r="F184" s="5"/>
      <c r="G184" s="14"/>
      <c r="H184" s="14"/>
      <c r="I184" s="5"/>
      <c r="J184" s="5"/>
      <c r="K184" s="15"/>
      <c r="L184" s="16"/>
      <c r="M184" s="16"/>
      <c r="N184" s="16"/>
      <c r="O184" s="16"/>
      <c r="P184" s="17"/>
      <c r="Q184" s="16"/>
      <c r="R184" s="16"/>
      <c r="S184" s="18"/>
    </row>
    <row r="185" spans="1:19" x14ac:dyDescent="0.3">
      <c r="A185" s="12"/>
      <c r="B185" s="13"/>
      <c r="C185" s="5"/>
      <c r="D185" s="5"/>
      <c r="E185" s="5"/>
      <c r="F185" s="5"/>
      <c r="G185" s="14"/>
      <c r="H185" s="14"/>
      <c r="I185" s="5"/>
      <c r="J185" s="5"/>
      <c r="K185" s="15"/>
      <c r="L185" s="16"/>
      <c r="M185" s="16"/>
      <c r="N185" s="16"/>
      <c r="O185" s="16"/>
      <c r="P185" s="17"/>
      <c r="Q185" s="16"/>
      <c r="R185" s="16"/>
      <c r="S185" s="18"/>
    </row>
    <row r="186" spans="1:19" x14ac:dyDescent="0.3">
      <c r="A186" s="12"/>
      <c r="B186" s="13"/>
      <c r="C186" s="5"/>
      <c r="D186" s="5"/>
      <c r="E186" s="5"/>
      <c r="F186" s="5"/>
      <c r="G186" s="14"/>
      <c r="H186" s="14"/>
      <c r="I186" s="5"/>
      <c r="J186" s="5"/>
      <c r="K186" s="15"/>
      <c r="L186" s="16"/>
      <c r="M186" s="16"/>
      <c r="N186" s="16"/>
      <c r="O186" s="16"/>
      <c r="P186" s="17"/>
      <c r="Q186" s="16"/>
      <c r="R186" s="16"/>
      <c r="S186" s="18"/>
    </row>
    <row r="187" spans="1:19" x14ac:dyDescent="0.3">
      <c r="A187" s="19"/>
      <c r="B187" s="13"/>
      <c r="C187" s="5"/>
      <c r="D187" s="5"/>
      <c r="E187" s="5"/>
      <c r="F187" s="5"/>
      <c r="G187" s="14"/>
      <c r="H187" s="14"/>
      <c r="I187" s="5"/>
      <c r="J187" s="5"/>
      <c r="K187" s="15"/>
      <c r="L187" s="16"/>
      <c r="M187" s="16"/>
      <c r="N187" s="16"/>
      <c r="O187" s="16"/>
      <c r="P187" s="17"/>
      <c r="Q187" s="16"/>
      <c r="R187" s="16"/>
      <c r="S187" s="18"/>
    </row>
    <row r="188" spans="1:19" x14ac:dyDescent="0.3">
      <c r="A188" s="19"/>
      <c r="B188" s="13"/>
      <c r="C188" s="5"/>
      <c r="D188" s="5"/>
      <c r="E188" s="5"/>
      <c r="F188" s="5"/>
      <c r="G188" s="14"/>
      <c r="H188" s="14"/>
      <c r="I188" s="5"/>
      <c r="J188" s="5"/>
      <c r="K188" s="15"/>
      <c r="L188" s="16"/>
      <c r="M188" s="16"/>
      <c r="N188" s="16"/>
      <c r="O188" s="16"/>
      <c r="P188" s="17"/>
      <c r="Q188" s="16"/>
      <c r="R188" s="16"/>
      <c r="S188" s="18"/>
    </row>
    <row r="189" spans="1:19" x14ac:dyDescent="0.3">
      <c r="A189" s="19"/>
      <c r="B189" s="13"/>
      <c r="C189" s="5"/>
      <c r="D189" s="5"/>
      <c r="E189" s="5"/>
      <c r="F189" s="5"/>
      <c r="G189" s="14"/>
      <c r="H189" s="14"/>
      <c r="I189" s="5"/>
      <c r="J189" s="5"/>
      <c r="K189" s="15"/>
      <c r="L189" s="16"/>
      <c r="M189" s="16"/>
      <c r="N189" s="16"/>
      <c r="O189" s="16"/>
      <c r="P189" s="17"/>
      <c r="Q189" s="16"/>
      <c r="R189" s="16"/>
      <c r="S189" s="18"/>
    </row>
    <row r="190" spans="1:19" x14ac:dyDescent="0.3">
      <c r="A190" s="19"/>
      <c r="B190" s="13"/>
      <c r="C190" s="5"/>
      <c r="D190" s="5"/>
      <c r="E190" s="5"/>
      <c r="F190" s="5"/>
      <c r="G190" s="14"/>
      <c r="H190" s="14"/>
      <c r="I190" s="5"/>
      <c r="J190" s="5"/>
      <c r="K190" s="15"/>
      <c r="L190" s="16"/>
      <c r="M190" s="16"/>
      <c r="N190" s="16"/>
      <c r="O190" s="16"/>
      <c r="P190" s="17"/>
      <c r="Q190" s="16"/>
      <c r="R190" s="16"/>
      <c r="S190" s="18"/>
    </row>
    <row r="191" spans="1:19" x14ac:dyDescent="0.3">
      <c r="A191" s="19"/>
      <c r="B191" s="13"/>
      <c r="C191" s="5"/>
      <c r="D191" s="5"/>
      <c r="E191" s="5"/>
      <c r="F191" s="5"/>
      <c r="G191" s="14"/>
      <c r="H191" s="14"/>
      <c r="I191" s="5"/>
      <c r="J191" s="5"/>
      <c r="K191" s="15"/>
      <c r="L191" s="16"/>
      <c r="M191" s="16"/>
      <c r="N191" s="16"/>
      <c r="O191" s="16"/>
      <c r="P191" s="17"/>
      <c r="Q191" s="16"/>
      <c r="R191" s="16"/>
      <c r="S191" s="18"/>
    </row>
    <row r="192" spans="1:19" x14ac:dyDescent="0.3">
      <c r="A192" s="19"/>
      <c r="B192" s="13"/>
      <c r="C192" s="5"/>
      <c r="D192" s="5"/>
      <c r="E192" s="5"/>
      <c r="F192" s="5"/>
      <c r="G192" s="14"/>
      <c r="H192" s="14"/>
      <c r="I192" s="5"/>
      <c r="J192" s="5"/>
      <c r="K192" s="15"/>
      <c r="L192" s="16"/>
      <c r="M192" s="16"/>
      <c r="N192" s="16"/>
      <c r="O192" s="16"/>
      <c r="P192" s="17"/>
      <c r="Q192" s="16"/>
      <c r="R192" s="16"/>
      <c r="S192" s="18"/>
    </row>
    <row r="193" spans="1:19" x14ac:dyDescent="0.3">
      <c r="A193" s="19"/>
      <c r="B193" s="13"/>
      <c r="C193" s="5"/>
      <c r="D193" s="5"/>
      <c r="E193" s="5"/>
      <c r="F193" s="5"/>
      <c r="G193" s="14"/>
      <c r="H193" s="14"/>
      <c r="I193" s="5"/>
      <c r="J193" s="5"/>
      <c r="K193" s="15"/>
      <c r="L193" s="16"/>
      <c r="M193" s="16"/>
      <c r="N193" s="16"/>
      <c r="O193" s="16"/>
      <c r="P193" s="17"/>
      <c r="Q193" s="16"/>
      <c r="R193" s="16"/>
      <c r="S193" s="18"/>
    </row>
    <row r="194" spans="1:19" x14ac:dyDescent="0.3">
      <c r="A194" s="19"/>
      <c r="B194" s="13"/>
      <c r="C194" s="5"/>
      <c r="D194" s="5"/>
      <c r="E194" s="5"/>
      <c r="F194" s="5"/>
      <c r="G194" s="14"/>
      <c r="H194" s="14"/>
      <c r="I194" s="5"/>
      <c r="J194" s="5"/>
      <c r="K194" s="15"/>
      <c r="L194" s="16"/>
      <c r="M194" s="16"/>
      <c r="N194" s="16"/>
      <c r="O194" s="16"/>
      <c r="P194" s="17"/>
      <c r="Q194" s="16"/>
      <c r="R194" s="16"/>
      <c r="S194" s="18"/>
    </row>
    <row r="195" spans="1:19" x14ac:dyDescent="0.3">
      <c r="A195" s="19"/>
      <c r="B195" s="13"/>
      <c r="C195" s="5"/>
      <c r="D195" s="5"/>
      <c r="E195" s="5"/>
      <c r="F195" s="5"/>
      <c r="G195" s="14"/>
      <c r="H195" s="14"/>
      <c r="I195" s="5"/>
      <c r="J195" s="5"/>
      <c r="K195" s="15"/>
      <c r="L195" s="16"/>
      <c r="M195" s="16"/>
      <c r="N195" s="16"/>
      <c r="O195" s="16"/>
      <c r="P195" s="17"/>
      <c r="Q195" s="16"/>
      <c r="R195" s="16"/>
      <c r="S195" s="18"/>
    </row>
    <row r="196" spans="1:19" x14ac:dyDescent="0.3">
      <c r="A196" s="19"/>
      <c r="B196" s="13"/>
      <c r="C196" s="5"/>
      <c r="D196" s="5"/>
      <c r="E196" s="5"/>
      <c r="F196" s="5"/>
      <c r="G196" s="14"/>
      <c r="H196" s="14"/>
      <c r="I196" s="5"/>
      <c r="J196" s="5"/>
      <c r="K196" s="15"/>
      <c r="L196" s="16"/>
      <c r="M196" s="16"/>
      <c r="N196" s="16"/>
      <c r="O196" s="16"/>
      <c r="P196" s="17"/>
      <c r="Q196" s="16"/>
      <c r="R196" s="16"/>
      <c r="S196" s="18"/>
    </row>
    <row r="197" spans="1:19" x14ac:dyDescent="0.3">
      <c r="A197" s="19"/>
      <c r="B197" s="13"/>
      <c r="C197" s="5"/>
      <c r="D197" s="5"/>
      <c r="E197" s="5"/>
      <c r="F197" s="5"/>
      <c r="G197" s="14"/>
      <c r="H197" s="14"/>
      <c r="I197" s="5"/>
      <c r="J197" s="5"/>
      <c r="K197" s="15"/>
      <c r="L197" s="16"/>
      <c r="M197" s="16"/>
      <c r="N197" s="16"/>
      <c r="O197" s="16"/>
      <c r="P197" s="17"/>
      <c r="Q197" s="16"/>
      <c r="R197" s="16"/>
      <c r="S197" s="18"/>
    </row>
    <row r="198" spans="1:19" x14ac:dyDescent="0.3">
      <c r="A198" s="19"/>
      <c r="B198" s="13"/>
      <c r="C198" s="5"/>
      <c r="D198" s="5"/>
      <c r="E198" s="5"/>
      <c r="F198" s="5"/>
      <c r="G198" s="14"/>
      <c r="H198" s="14"/>
      <c r="I198" s="5"/>
      <c r="J198" s="5"/>
      <c r="K198" s="15"/>
      <c r="L198" s="16"/>
      <c r="M198" s="16"/>
      <c r="N198" s="16"/>
      <c r="O198" s="16"/>
      <c r="P198" s="17"/>
      <c r="Q198" s="16"/>
      <c r="R198" s="16"/>
      <c r="S198" s="18"/>
    </row>
    <row r="199" spans="1:19" x14ac:dyDescent="0.3">
      <c r="A199" s="19"/>
      <c r="B199" s="13"/>
      <c r="C199" s="5"/>
      <c r="D199" s="5"/>
      <c r="E199" s="5"/>
      <c r="F199" s="5"/>
      <c r="G199" s="14"/>
      <c r="H199" s="14"/>
      <c r="I199" s="5"/>
      <c r="J199" s="5"/>
      <c r="K199" s="15"/>
      <c r="L199" s="16"/>
      <c r="M199" s="16"/>
      <c r="N199" s="16"/>
      <c r="O199" s="16"/>
      <c r="P199" s="17"/>
      <c r="Q199" s="16"/>
      <c r="R199" s="16"/>
      <c r="S199" s="18"/>
    </row>
    <row r="200" spans="1:19" x14ac:dyDescent="0.3">
      <c r="A200" s="19"/>
      <c r="B200" s="13"/>
      <c r="C200" s="5"/>
      <c r="D200" s="5"/>
      <c r="E200" s="5"/>
      <c r="F200" s="5"/>
      <c r="G200" s="14"/>
      <c r="H200" s="14"/>
      <c r="I200" s="5"/>
      <c r="J200" s="5"/>
      <c r="K200" s="15"/>
      <c r="L200" s="16"/>
      <c r="M200" s="16"/>
      <c r="N200" s="16"/>
      <c r="O200" s="16"/>
      <c r="P200" s="17"/>
      <c r="Q200" s="16"/>
      <c r="R200" s="16"/>
      <c r="S200" s="18"/>
    </row>
    <row r="201" spans="1:19" x14ac:dyDescent="0.3">
      <c r="A201" s="19"/>
      <c r="B201" s="13"/>
      <c r="C201" s="5"/>
      <c r="D201" s="5"/>
      <c r="E201" s="5"/>
      <c r="F201" s="5"/>
      <c r="G201" s="14"/>
      <c r="H201" s="14"/>
      <c r="I201" s="5"/>
      <c r="J201" s="5"/>
      <c r="K201" s="15"/>
      <c r="L201" s="16"/>
      <c r="M201" s="16"/>
      <c r="N201" s="16"/>
      <c r="O201" s="16"/>
      <c r="P201" s="17"/>
      <c r="Q201" s="16"/>
      <c r="R201" s="16"/>
      <c r="S201" s="18"/>
    </row>
    <row r="202" spans="1:19" x14ac:dyDescent="0.3">
      <c r="A202" s="19"/>
      <c r="B202" s="13"/>
      <c r="C202" s="5"/>
      <c r="D202" s="5"/>
      <c r="E202" s="5"/>
      <c r="F202" s="5"/>
      <c r="G202" s="14"/>
      <c r="H202" s="14"/>
      <c r="I202" s="5"/>
      <c r="J202" s="5"/>
      <c r="K202" s="15"/>
      <c r="L202" s="16"/>
      <c r="M202" s="16"/>
      <c r="N202" s="16"/>
      <c r="O202" s="16"/>
      <c r="P202" s="17"/>
      <c r="Q202" s="16"/>
      <c r="R202" s="16"/>
      <c r="S202" s="18"/>
    </row>
    <row r="203" spans="1:19" x14ac:dyDescent="0.3">
      <c r="A203" s="19"/>
      <c r="B203" s="13"/>
      <c r="C203" s="5"/>
      <c r="D203" s="5"/>
      <c r="E203" s="5"/>
      <c r="F203" s="5"/>
      <c r="G203" s="14"/>
      <c r="H203" s="14"/>
      <c r="I203" s="5"/>
      <c r="J203" s="5"/>
      <c r="K203" s="15"/>
      <c r="L203" s="16"/>
      <c r="M203" s="16"/>
      <c r="N203" s="16"/>
      <c r="O203" s="16"/>
      <c r="P203" s="17"/>
      <c r="Q203" s="16"/>
      <c r="R203" s="16"/>
      <c r="S203" s="18"/>
    </row>
    <row r="204" spans="1:19" x14ac:dyDescent="0.3">
      <c r="A204" s="19"/>
      <c r="B204" s="13"/>
      <c r="C204" s="5"/>
      <c r="D204" s="5"/>
      <c r="E204" s="5"/>
      <c r="F204" s="5"/>
      <c r="G204" s="14"/>
      <c r="H204" s="14"/>
      <c r="I204" s="5"/>
      <c r="J204" s="5"/>
      <c r="K204" s="15"/>
      <c r="L204" s="16"/>
      <c r="M204" s="16"/>
      <c r="N204" s="16"/>
      <c r="O204" s="16"/>
      <c r="P204" s="17"/>
      <c r="Q204" s="16"/>
      <c r="R204" s="16"/>
      <c r="S204" s="18"/>
    </row>
    <row r="205" spans="1:19" x14ac:dyDescent="0.3">
      <c r="A205" s="19"/>
      <c r="B205" s="13"/>
      <c r="C205" s="5"/>
      <c r="D205" s="5"/>
      <c r="E205" s="5"/>
      <c r="F205" s="5"/>
      <c r="G205" s="14"/>
      <c r="H205" s="14"/>
      <c r="I205" s="5"/>
      <c r="J205" s="5"/>
      <c r="K205" s="15"/>
      <c r="L205" s="16"/>
      <c r="M205" s="16"/>
      <c r="N205" s="16"/>
      <c r="O205" s="16"/>
      <c r="P205" s="17"/>
      <c r="Q205" s="16"/>
      <c r="R205" s="16"/>
      <c r="S205" s="18"/>
    </row>
    <row r="206" spans="1:19" x14ac:dyDescent="0.3">
      <c r="A206" s="19"/>
      <c r="B206" s="13"/>
      <c r="C206" s="5"/>
      <c r="D206" s="5"/>
      <c r="E206" s="5"/>
      <c r="F206" s="5"/>
      <c r="G206" s="14"/>
      <c r="H206" s="14"/>
      <c r="I206" s="5"/>
      <c r="J206" s="5"/>
      <c r="K206" s="15"/>
      <c r="L206" s="16"/>
      <c r="M206" s="16"/>
      <c r="N206" s="16"/>
      <c r="O206" s="16"/>
      <c r="P206" s="17"/>
      <c r="Q206" s="16"/>
      <c r="R206" s="16"/>
      <c r="S206" s="18"/>
    </row>
    <row r="207" spans="1:19" x14ac:dyDescent="0.3">
      <c r="A207" s="19"/>
      <c r="B207" s="13"/>
      <c r="C207" s="5"/>
      <c r="D207" s="5"/>
      <c r="E207" s="5"/>
      <c r="F207" s="5"/>
      <c r="G207" s="14"/>
      <c r="H207" s="14"/>
      <c r="I207" s="5"/>
      <c r="J207" s="5"/>
      <c r="K207" s="15"/>
      <c r="L207" s="16"/>
      <c r="M207" s="16"/>
      <c r="N207" s="16"/>
      <c r="O207" s="16"/>
      <c r="P207" s="17"/>
      <c r="Q207" s="16"/>
      <c r="R207" s="16"/>
      <c r="S207" s="18"/>
    </row>
    <row r="208" spans="1:19" x14ac:dyDescent="0.3">
      <c r="A208" s="19"/>
      <c r="B208" s="13"/>
      <c r="C208" s="5"/>
      <c r="D208" s="5"/>
      <c r="E208" s="5"/>
      <c r="F208" s="5"/>
      <c r="G208" s="14"/>
      <c r="H208" s="14"/>
      <c r="I208" s="5"/>
      <c r="J208" s="5"/>
      <c r="K208" s="15"/>
      <c r="L208" s="16"/>
      <c r="M208" s="16"/>
      <c r="N208" s="16"/>
      <c r="O208" s="16"/>
      <c r="P208" s="17"/>
      <c r="Q208" s="16"/>
      <c r="R208" s="16"/>
      <c r="S208" s="18"/>
    </row>
    <row r="209" spans="1:19" x14ac:dyDescent="0.3">
      <c r="A209" s="19"/>
      <c r="B209" s="13"/>
      <c r="C209" s="5"/>
      <c r="D209" s="5"/>
      <c r="E209" s="5"/>
      <c r="F209" s="5"/>
      <c r="G209" s="14"/>
      <c r="H209" s="14"/>
      <c r="I209" s="5"/>
      <c r="J209" s="5"/>
      <c r="K209" s="15"/>
      <c r="L209" s="16"/>
      <c r="M209" s="16"/>
      <c r="N209" s="16"/>
      <c r="O209" s="16"/>
      <c r="P209" s="17"/>
      <c r="Q209" s="16"/>
      <c r="R209" s="16"/>
      <c r="S209" s="18"/>
    </row>
    <row r="210" spans="1:19" x14ac:dyDescent="0.3">
      <c r="A210" s="19"/>
      <c r="B210" s="13"/>
      <c r="C210" s="5"/>
      <c r="D210" s="5"/>
      <c r="E210" s="5"/>
      <c r="F210" s="5"/>
      <c r="G210" s="14"/>
      <c r="H210" s="14"/>
      <c r="I210" s="5"/>
      <c r="J210" s="5"/>
      <c r="K210" s="15"/>
      <c r="L210" s="16"/>
      <c r="M210" s="16"/>
      <c r="N210" s="16"/>
      <c r="O210" s="16"/>
      <c r="P210" s="17"/>
      <c r="Q210" s="16"/>
      <c r="R210" s="16"/>
      <c r="S210" s="18"/>
    </row>
    <row r="211" spans="1:19" x14ac:dyDescent="0.3">
      <c r="A211" s="19"/>
      <c r="B211" s="13"/>
      <c r="C211" s="5"/>
      <c r="D211" s="5"/>
      <c r="E211" s="5"/>
      <c r="F211" s="5"/>
      <c r="G211" s="14"/>
      <c r="H211" s="14"/>
      <c r="I211" s="5"/>
      <c r="J211" s="5"/>
      <c r="K211" s="15"/>
      <c r="L211" s="16"/>
      <c r="M211" s="16"/>
      <c r="N211" s="16"/>
      <c r="O211" s="16"/>
      <c r="P211" s="17"/>
      <c r="Q211" s="16"/>
      <c r="R211" s="16"/>
      <c r="S211" s="18"/>
    </row>
    <row r="212" spans="1:19" x14ac:dyDescent="0.3">
      <c r="A212" s="19"/>
      <c r="B212" s="13"/>
      <c r="C212" s="5"/>
      <c r="D212" s="5"/>
      <c r="E212" s="5"/>
      <c r="F212" s="5"/>
      <c r="G212" s="14"/>
      <c r="H212" s="14"/>
      <c r="I212" s="5"/>
      <c r="J212" s="5"/>
      <c r="K212" s="15"/>
      <c r="L212" s="16"/>
      <c r="M212" s="16"/>
      <c r="N212" s="16"/>
      <c r="O212" s="16"/>
      <c r="P212" s="17"/>
      <c r="Q212" s="16"/>
      <c r="R212" s="16"/>
      <c r="S212" s="18"/>
    </row>
    <row r="213" spans="1:19" x14ac:dyDescent="0.3">
      <c r="A213" s="19"/>
      <c r="B213" s="13"/>
      <c r="C213" s="5"/>
      <c r="D213" s="5"/>
      <c r="E213" s="5"/>
      <c r="F213" s="5"/>
      <c r="G213" s="14"/>
      <c r="H213" s="14"/>
      <c r="I213" s="5"/>
      <c r="J213" s="5"/>
      <c r="K213" s="15"/>
      <c r="L213" s="16"/>
      <c r="M213" s="16"/>
      <c r="N213" s="16"/>
      <c r="O213" s="16"/>
      <c r="P213" s="17"/>
      <c r="Q213" s="16"/>
      <c r="R213" s="16"/>
      <c r="S213" s="18"/>
    </row>
    <row r="214" spans="1:19" x14ac:dyDescent="0.3">
      <c r="A214" s="19"/>
      <c r="B214" s="13"/>
      <c r="C214" s="5"/>
      <c r="D214" s="5"/>
      <c r="E214" s="5"/>
      <c r="F214" s="5"/>
      <c r="G214" s="14"/>
      <c r="H214" s="14"/>
      <c r="I214" s="5"/>
      <c r="J214" s="5"/>
      <c r="K214" s="15"/>
      <c r="L214" s="16"/>
      <c r="M214" s="16"/>
      <c r="N214" s="16"/>
      <c r="O214" s="16"/>
      <c r="P214" s="17"/>
      <c r="Q214" s="16"/>
      <c r="R214" s="16"/>
      <c r="S214" s="18"/>
    </row>
    <row r="215" spans="1:19" x14ac:dyDescent="0.3">
      <c r="A215" s="19"/>
      <c r="B215" s="13"/>
      <c r="C215" s="5"/>
      <c r="D215" s="5"/>
      <c r="E215" s="5"/>
      <c r="F215" s="5"/>
      <c r="G215" s="14"/>
      <c r="H215" s="14"/>
      <c r="I215" s="5"/>
      <c r="J215" s="5"/>
      <c r="K215" s="15"/>
      <c r="L215" s="16"/>
      <c r="M215" s="16"/>
      <c r="N215" s="16"/>
      <c r="O215" s="16"/>
      <c r="P215" s="17"/>
      <c r="Q215" s="16"/>
      <c r="R215" s="16"/>
      <c r="S215" s="18"/>
    </row>
    <row r="216" spans="1:19" x14ac:dyDescent="0.3">
      <c r="A216" s="19"/>
      <c r="B216" s="13"/>
      <c r="C216" s="5"/>
      <c r="D216" s="5"/>
      <c r="E216" s="5"/>
      <c r="F216" s="5"/>
      <c r="G216" s="14"/>
      <c r="H216" s="14"/>
      <c r="I216" s="5"/>
      <c r="J216" s="5"/>
      <c r="K216" s="15"/>
      <c r="L216" s="16"/>
      <c r="M216" s="16"/>
      <c r="N216" s="16"/>
      <c r="O216" s="16"/>
      <c r="P216" s="17"/>
      <c r="Q216" s="16"/>
      <c r="R216" s="16"/>
      <c r="S216" s="18"/>
    </row>
    <row r="217" spans="1:19" x14ac:dyDescent="0.3">
      <c r="A217" s="19"/>
      <c r="B217" s="13"/>
      <c r="C217" s="5"/>
      <c r="D217" s="5"/>
      <c r="E217" s="5"/>
      <c r="F217" s="5"/>
      <c r="G217" s="14"/>
      <c r="H217" s="14"/>
      <c r="I217" s="5"/>
      <c r="J217" s="5"/>
      <c r="K217" s="15"/>
      <c r="L217" s="16"/>
      <c r="M217" s="16"/>
      <c r="N217" s="16"/>
      <c r="O217" s="16"/>
      <c r="P217" s="17"/>
      <c r="Q217" s="16"/>
      <c r="R217" s="16"/>
      <c r="S217" s="18"/>
    </row>
    <row r="218" spans="1:19" x14ac:dyDescent="0.3">
      <c r="A218" s="19"/>
      <c r="B218" s="13"/>
      <c r="C218" s="5"/>
      <c r="D218" s="5"/>
      <c r="E218" s="5"/>
      <c r="F218" s="5"/>
      <c r="G218" s="14"/>
      <c r="H218" s="14"/>
      <c r="I218" s="5"/>
      <c r="J218" s="5"/>
      <c r="K218" s="15"/>
      <c r="L218" s="16"/>
      <c r="M218" s="16"/>
      <c r="N218" s="16"/>
      <c r="O218" s="16"/>
      <c r="P218" s="17"/>
      <c r="Q218" s="16"/>
      <c r="R218" s="16"/>
      <c r="S218" s="18"/>
    </row>
    <row r="219" spans="1:19" x14ac:dyDescent="0.3">
      <c r="A219" s="19"/>
      <c r="B219" s="13"/>
      <c r="C219" s="5"/>
      <c r="D219" s="5"/>
      <c r="E219" s="5"/>
      <c r="F219" s="5"/>
      <c r="G219" s="14"/>
      <c r="H219" s="14"/>
      <c r="I219" s="5"/>
      <c r="J219" s="5"/>
      <c r="K219" s="15"/>
      <c r="L219" s="16"/>
      <c r="M219" s="16"/>
      <c r="N219" s="16"/>
      <c r="O219" s="16"/>
      <c r="P219" s="17"/>
      <c r="Q219" s="16"/>
      <c r="R219" s="16"/>
      <c r="S219" s="18"/>
    </row>
    <row r="220" spans="1:19" x14ac:dyDescent="0.3">
      <c r="A220" s="19"/>
      <c r="B220" s="13"/>
      <c r="C220" s="5"/>
      <c r="D220" s="5"/>
      <c r="E220" s="5"/>
      <c r="F220" s="5"/>
      <c r="G220" s="14"/>
      <c r="H220" s="14"/>
      <c r="I220" s="5"/>
      <c r="J220" s="5"/>
      <c r="K220" s="15"/>
      <c r="L220" s="16"/>
      <c r="M220" s="16"/>
      <c r="N220" s="16"/>
      <c r="O220" s="16"/>
      <c r="P220" s="17"/>
      <c r="Q220" s="16"/>
      <c r="R220" s="16"/>
      <c r="S220" s="18"/>
    </row>
    <row r="221" spans="1:19" x14ac:dyDescent="0.3">
      <c r="A221" s="19"/>
      <c r="B221" s="13"/>
      <c r="C221" s="5"/>
      <c r="D221" s="5"/>
      <c r="E221" s="5"/>
      <c r="F221" s="5"/>
      <c r="G221" s="14"/>
      <c r="H221" s="14"/>
      <c r="I221" s="5"/>
      <c r="J221" s="5"/>
      <c r="K221" s="15"/>
      <c r="L221" s="16"/>
      <c r="M221" s="16"/>
      <c r="N221" s="16"/>
      <c r="O221" s="16"/>
      <c r="P221" s="17"/>
      <c r="Q221" s="16"/>
      <c r="R221" s="16"/>
      <c r="S221" s="18"/>
    </row>
    <row r="222" spans="1:19" x14ac:dyDescent="0.3">
      <c r="A222" s="19"/>
      <c r="B222" s="13"/>
      <c r="C222" s="5"/>
      <c r="D222" s="5"/>
      <c r="E222" s="5"/>
      <c r="F222" s="5"/>
      <c r="G222" s="14"/>
      <c r="H222" s="14"/>
      <c r="I222" s="5"/>
      <c r="J222" s="5"/>
      <c r="K222" s="15"/>
      <c r="L222" s="16"/>
      <c r="M222" s="16"/>
      <c r="N222" s="16"/>
      <c r="O222" s="16"/>
      <c r="P222" s="17"/>
      <c r="Q222" s="16"/>
      <c r="R222" s="16"/>
      <c r="S222" s="18"/>
    </row>
  </sheetData>
  <autoFilter ref="A1:S107" xr:uid="{2C87B8F0-A533-4DFA-8EA0-1B7F61B35573}"/>
  <conditionalFormatting sqref="J2:J50">
    <cfRule type="duplicateValues" dxfId="7" priority="18" stopIfTrue="1"/>
  </conditionalFormatting>
  <conditionalFormatting sqref="J51:J68">
    <cfRule type="duplicateValues" dxfId="6" priority="7" stopIfTrue="1"/>
  </conditionalFormatting>
  <conditionalFormatting sqref="J69:J93">
    <cfRule type="duplicateValues" dxfId="5" priority="21" stopIfTrue="1"/>
  </conditionalFormatting>
  <conditionalFormatting sqref="J110:J115">
    <cfRule type="duplicateValues" dxfId="4" priority="8"/>
  </conditionalFormatting>
  <conditionalFormatting sqref="J116:J186">
    <cfRule type="duplicateValues" dxfId="3" priority="5" stopIfTrue="1"/>
  </conditionalFormatting>
  <conditionalFormatting sqref="J196:J197">
    <cfRule type="duplicateValues" dxfId="2" priority="4" stopIfTrue="1"/>
  </conditionalFormatting>
  <conditionalFormatting sqref="J214:J216">
    <cfRule type="duplicateValues" dxfId="1" priority="3" stopIfTrue="1"/>
  </conditionalFormatting>
  <conditionalFormatting sqref="R2:R222">
    <cfRule type="uniqueValues" dxfId="0" priority="23" stopIfTrue="1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A7F1A-90FA-4C0C-AE49-E7F1143A4A0D}">
  <dimension ref="A1:CB15"/>
  <sheetViews>
    <sheetView showRuler="0" zoomScaleNormal="100" workbookViewId="0">
      <selection activeCell="G4" sqref="G4"/>
    </sheetView>
  </sheetViews>
  <sheetFormatPr defaultRowHeight="14.4" x14ac:dyDescent="0.3"/>
  <cols>
    <col min="1" max="1" width="22" customWidth="1"/>
    <col min="2" max="3" width="27" customWidth="1"/>
    <col min="4" max="4" width="16.44140625" customWidth="1"/>
    <col min="5" max="5" width="37.6640625" customWidth="1"/>
    <col min="6" max="6" width="28.109375" customWidth="1"/>
    <col min="7" max="7" width="36.44140625" customWidth="1"/>
    <col min="8" max="8" width="16.44140625" customWidth="1"/>
    <col min="9" max="9" width="14" customWidth="1"/>
    <col min="10" max="10" width="12.88671875" customWidth="1"/>
    <col min="11" max="11" width="15.33203125" customWidth="1"/>
    <col min="12" max="12" width="47.109375" customWidth="1"/>
    <col min="13" max="13" width="37.6640625" customWidth="1"/>
    <col min="14" max="14" width="40" customWidth="1"/>
    <col min="15" max="15" width="18.6640625" customWidth="1"/>
    <col min="16" max="16" width="9.33203125" customWidth="1"/>
    <col min="17" max="17" width="12.88671875" customWidth="1"/>
    <col min="18" max="18" width="15.33203125" customWidth="1"/>
    <col min="19" max="21" width="14" customWidth="1"/>
    <col min="22" max="22" width="12.88671875" customWidth="1"/>
    <col min="23" max="23" width="15.33203125" customWidth="1"/>
    <col min="24" max="24" width="16.44140625" customWidth="1"/>
    <col min="25" max="25" width="31.6640625" customWidth="1"/>
    <col min="26" max="26" width="27" customWidth="1"/>
    <col min="27" max="27" width="51.88671875" customWidth="1"/>
    <col min="28" max="28" width="25.88671875" customWidth="1"/>
    <col min="29" max="29" width="17.5546875" customWidth="1"/>
    <col min="30" max="30" width="41.109375" customWidth="1"/>
    <col min="31" max="31" width="18.6640625" customWidth="1"/>
    <col min="32" max="32" width="17.5546875" customWidth="1"/>
    <col min="33" max="33" width="12.88671875" customWidth="1"/>
    <col min="34" max="34" width="37.6640625" customWidth="1"/>
    <col min="35" max="35" width="15.33203125" customWidth="1"/>
    <col min="36" max="36" width="155.6640625" customWidth="1"/>
    <col min="37" max="37" width="14" customWidth="1"/>
    <col min="38" max="39" width="24.6640625" customWidth="1"/>
    <col min="40" max="40" width="5.88671875" customWidth="1"/>
    <col min="41" max="41" width="4.5546875" customWidth="1"/>
    <col min="42" max="42" width="53" customWidth="1"/>
    <col min="43" max="43" width="11.6640625" customWidth="1"/>
    <col min="44" max="44" width="160.33203125" customWidth="1"/>
    <col min="45" max="45" width="18.6640625" customWidth="1"/>
    <col min="46" max="46" width="14" customWidth="1"/>
    <col min="47" max="47" width="18.6640625" customWidth="1"/>
    <col min="48" max="48" width="14" customWidth="1"/>
    <col min="49" max="49" width="9.33203125" customWidth="1"/>
    <col min="50" max="50" width="21.109375" customWidth="1"/>
    <col min="51" max="51" width="10.5546875" customWidth="1"/>
    <col min="52" max="52" width="23.44140625" customWidth="1"/>
    <col min="53" max="53" width="36.44140625" customWidth="1"/>
    <col min="54" max="54" width="18.6640625" customWidth="1"/>
    <col min="55" max="57" width="10.5546875" customWidth="1"/>
    <col min="58" max="58" width="37.6640625" customWidth="1"/>
    <col min="59" max="59" width="17.5546875" customWidth="1"/>
    <col min="60" max="60" width="18.6640625" customWidth="1"/>
    <col min="61" max="61" width="10.5546875" customWidth="1"/>
    <col min="62" max="62" width="34.109375" customWidth="1"/>
    <col min="63" max="63" width="18.6640625" customWidth="1"/>
    <col min="64" max="64" width="28.109375" customWidth="1"/>
    <col min="65" max="65" width="14" customWidth="1"/>
    <col min="66" max="66" width="9.33203125" customWidth="1"/>
    <col min="67" max="67" width="10.5546875" customWidth="1"/>
    <col min="68" max="68" width="34.109375" customWidth="1"/>
    <col min="69" max="69" width="3.44140625" customWidth="1"/>
    <col min="70" max="70" width="51.88671875" customWidth="1"/>
    <col min="71" max="71" width="35.21875" customWidth="1"/>
    <col min="72" max="72" width="16.44140625" customWidth="1"/>
    <col min="73" max="73" width="22.21875" customWidth="1"/>
    <col min="74" max="74" width="43.5546875" customWidth="1"/>
    <col min="75" max="75" width="12.88671875" customWidth="1"/>
    <col min="76" max="77" width="14" customWidth="1"/>
    <col min="78" max="78" width="20" customWidth="1"/>
    <col min="79" max="79" width="10.5546875" customWidth="1"/>
    <col min="80" max="80" width="5.88671875" customWidth="1"/>
  </cols>
  <sheetData>
    <row r="1" spans="1:80" x14ac:dyDescent="0.3">
      <c r="A1" s="1" t="s">
        <v>1302</v>
      </c>
    </row>
    <row r="3" spans="1:80" x14ac:dyDescent="0.3">
      <c r="A3" s="2" t="s">
        <v>1303</v>
      </c>
      <c r="B3" s="2" t="s">
        <v>1304</v>
      </c>
      <c r="C3" s="2" t="s">
        <v>1305</v>
      </c>
      <c r="D3" s="2" t="s">
        <v>1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2" t="s">
        <v>16</v>
      </c>
      <c r="R3" s="2" t="s">
        <v>17</v>
      </c>
      <c r="S3" s="2" t="s">
        <v>18</v>
      </c>
      <c r="T3" s="2" t="s">
        <v>19</v>
      </c>
      <c r="U3" s="2" t="s">
        <v>20</v>
      </c>
      <c r="V3" s="2" t="s">
        <v>21</v>
      </c>
      <c r="W3" s="2" t="s">
        <v>1306</v>
      </c>
      <c r="X3" s="2" t="s">
        <v>1308</v>
      </c>
      <c r="Y3" s="2" t="s">
        <v>1307</v>
      </c>
      <c r="Z3" s="2" t="s">
        <v>28</v>
      </c>
      <c r="AA3" s="2" t="s">
        <v>29</v>
      </c>
      <c r="AB3" s="2" t="s">
        <v>30</v>
      </c>
      <c r="AC3" s="2" t="s">
        <v>31</v>
      </c>
      <c r="AD3" s="2" t="s">
        <v>32</v>
      </c>
      <c r="AE3" s="2" t="s">
        <v>33</v>
      </c>
      <c r="AF3" s="2" t="s">
        <v>1309</v>
      </c>
      <c r="AG3" s="2" t="s">
        <v>35</v>
      </c>
      <c r="AH3" s="2" t="s">
        <v>1310</v>
      </c>
      <c r="AI3" s="2" t="s">
        <v>37</v>
      </c>
      <c r="AJ3" s="2" t="s">
        <v>1074</v>
      </c>
      <c r="AK3" s="2" t="s">
        <v>40</v>
      </c>
      <c r="AL3" s="2" t="s">
        <v>41</v>
      </c>
      <c r="AM3" s="2" t="s">
        <v>42</v>
      </c>
      <c r="AN3" s="2" t="s">
        <v>38</v>
      </c>
      <c r="AO3" s="2" t="s">
        <v>39</v>
      </c>
      <c r="AP3" s="2" t="s">
        <v>43</v>
      </c>
      <c r="AQ3" s="2" t="s">
        <v>44</v>
      </c>
      <c r="AR3" s="2" t="s">
        <v>45</v>
      </c>
      <c r="AS3" s="2" t="s">
        <v>52</v>
      </c>
      <c r="AT3" s="2" t="s">
        <v>53</v>
      </c>
      <c r="AU3" s="2" t="s">
        <v>54</v>
      </c>
      <c r="AV3" s="2" t="s">
        <v>55</v>
      </c>
      <c r="AW3" s="2" t="s">
        <v>56</v>
      </c>
      <c r="AX3" s="2" t="s">
        <v>57</v>
      </c>
      <c r="AY3" s="2" t="s">
        <v>58</v>
      </c>
      <c r="AZ3" s="2" t="s">
        <v>59</v>
      </c>
      <c r="BA3" s="2" t="s">
        <v>60</v>
      </c>
      <c r="BB3" s="2" t="s">
        <v>61</v>
      </c>
      <c r="BC3" s="2" t="s">
        <v>64</v>
      </c>
      <c r="BD3" s="2" t="s">
        <v>65</v>
      </c>
      <c r="BE3" s="2" t="s">
        <v>66</v>
      </c>
      <c r="BF3" s="2" t="s">
        <v>67</v>
      </c>
      <c r="BG3" s="2" t="s">
        <v>70</v>
      </c>
      <c r="BH3" s="2" t="s">
        <v>71</v>
      </c>
      <c r="BI3" s="2" t="s">
        <v>72</v>
      </c>
      <c r="BJ3" s="2" t="s">
        <v>1311</v>
      </c>
      <c r="BK3" s="2" t="s">
        <v>1312</v>
      </c>
      <c r="BL3" s="2" t="s">
        <v>74</v>
      </c>
      <c r="BM3" s="2" t="s">
        <v>853</v>
      </c>
      <c r="BN3" s="2" t="s">
        <v>76</v>
      </c>
      <c r="BO3" s="2" t="s">
        <v>77</v>
      </c>
      <c r="BP3" s="2" t="s">
        <v>78</v>
      </c>
      <c r="BQ3" s="2" t="s">
        <v>1313</v>
      </c>
      <c r="BR3" s="2" t="s">
        <v>80</v>
      </c>
      <c r="BS3" s="2" t="s">
        <v>81</v>
      </c>
      <c r="BT3" s="2" t="s">
        <v>82</v>
      </c>
      <c r="BU3" s="2" t="s">
        <v>1314</v>
      </c>
      <c r="BV3" s="2" t="s">
        <v>84</v>
      </c>
      <c r="BW3" s="2" t="s">
        <v>85</v>
      </c>
      <c r="BX3" s="2" t="s">
        <v>86</v>
      </c>
      <c r="BY3" s="2" t="s">
        <v>1315</v>
      </c>
      <c r="BZ3" s="2" t="s">
        <v>1316</v>
      </c>
      <c r="CA3" s="2" t="s">
        <v>1317</v>
      </c>
      <c r="CB3" s="2" t="s">
        <v>87</v>
      </c>
    </row>
    <row r="4" spans="1:80" x14ac:dyDescent="0.3">
      <c r="A4" t="s">
        <v>1318</v>
      </c>
      <c r="B4" t="s">
        <v>1095</v>
      </c>
      <c r="C4" t="s">
        <v>1319</v>
      </c>
      <c r="D4" t="s">
        <v>1320</v>
      </c>
      <c r="E4" t="s">
        <v>210</v>
      </c>
      <c r="F4" t="s">
        <v>93</v>
      </c>
      <c r="G4" t="s">
        <v>885</v>
      </c>
      <c r="H4" t="s">
        <v>886</v>
      </c>
      <c r="I4">
        <v>3701618</v>
      </c>
      <c r="J4" t="s">
        <v>213</v>
      </c>
      <c r="L4" t="s">
        <v>1321</v>
      </c>
      <c r="M4" t="s">
        <v>491</v>
      </c>
      <c r="N4" t="s">
        <v>122</v>
      </c>
      <c r="O4" t="s">
        <v>1322</v>
      </c>
      <c r="P4" t="s">
        <v>96</v>
      </c>
      <c r="Q4" t="s">
        <v>1323</v>
      </c>
      <c r="R4">
        <v>16960</v>
      </c>
      <c r="S4">
        <v>0</v>
      </c>
      <c r="T4">
        <v>444</v>
      </c>
      <c r="U4">
        <v>848</v>
      </c>
      <c r="V4">
        <v>18252</v>
      </c>
      <c r="W4">
        <v>499</v>
      </c>
      <c r="X4">
        <v>17753</v>
      </c>
      <c r="Y4">
        <v>0</v>
      </c>
      <c r="Z4" t="s">
        <v>99</v>
      </c>
      <c r="AA4" t="s">
        <v>141</v>
      </c>
      <c r="AB4" t="s">
        <v>1324</v>
      </c>
      <c r="AC4">
        <v>1388534</v>
      </c>
      <c r="AD4" t="s">
        <v>1151</v>
      </c>
      <c r="AE4" t="s">
        <v>101</v>
      </c>
      <c r="AF4" t="s">
        <v>102</v>
      </c>
      <c r="AG4" t="s">
        <v>190</v>
      </c>
      <c r="AH4" t="s">
        <v>1325</v>
      </c>
      <c r="AI4" t="s">
        <v>334</v>
      </c>
      <c r="AJ4" t="s">
        <v>1326</v>
      </c>
      <c r="AK4">
        <v>44681994</v>
      </c>
      <c r="AL4" t="s">
        <v>186</v>
      </c>
      <c r="AM4" t="s">
        <v>1327</v>
      </c>
      <c r="AN4">
        <v>275</v>
      </c>
      <c r="AO4">
        <v>0</v>
      </c>
      <c r="AQ4" t="s">
        <v>105</v>
      </c>
      <c r="AR4" t="s">
        <v>106</v>
      </c>
      <c r="AS4" t="s">
        <v>222</v>
      </c>
      <c r="AT4" t="s">
        <v>108</v>
      </c>
      <c r="AU4" t="s">
        <v>1323</v>
      </c>
      <c r="AV4" t="s">
        <v>1323</v>
      </c>
      <c r="AW4" t="s">
        <v>148</v>
      </c>
      <c r="AX4" t="s">
        <v>109</v>
      </c>
      <c r="AY4">
        <v>996425</v>
      </c>
      <c r="AZ4" t="s">
        <v>188</v>
      </c>
      <c r="BA4" t="s">
        <v>150</v>
      </c>
      <c r="BB4" t="s">
        <v>151</v>
      </c>
      <c r="BC4">
        <v>848</v>
      </c>
      <c r="BD4">
        <v>0</v>
      </c>
      <c r="BE4">
        <v>0</v>
      </c>
      <c r="BF4">
        <v>0.10916628</v>
      </c>
      <c r="BJ4" t="s">
        <v>826</v>
      </c>
      <c r="BK4" t="s">
        <v>97</v>
      </c>
      <c r="BR4" t="s">
        <v>154</v>
      </c>
      <c r="BS4" t="s">
        <v>222</v>
      </c>
      <c r="BV4" t="s">
        <v>1328</v>
      </c>
      <c r="BY4" t="s">
        <v>1329</v>
      </c>
      <c r="BZ4" t="s">
        <v>1330</v>
      </c>
      <c r="CA4">
        <v>442</v>
      </c>
    </row>
    <row r="5" spans="1:80" x14ac:dyDescent="0.3">
      <c r="A5" t="s">
        <v>1331</v>
      </c>
      <c r="B5" t="s">
        <v>1095</v>
      </c>
      <c r="C5" t="s">
        <v>1332</v>
      </c>
      <c r="D5" t="s">
        <v>167</v>
      </c>
      <c r="E5" t="s">
        <v>131</v>
      </c>
      <c r="F5" t="s">
        <v>116</v>
      </c>
      <c r="G5" t="s">
        <v>159</v>
      </c>
      <c r="H5" t="s">
        <v>160</v>
      </c>
      <c r="I5" t="s">
        <v>134</v>
      </c>
      <c r="J5" t="s">
        <v>134</v>
      </c>
      <c r="L5" t="s">
        <v>168</v>
      </c>
      <c r="M5" t="s">
        <v>169</v>
      </c>
      <c r="N5" t="s">
        <v>170</v>
      </c>
      <c r="O5" t="s">
        <v>171</v>
      </c>
      <c r="P5" t="s">
        <v>96</v>
      </c>
      <c r="Q5" t="s">
        <v>172</v>
      </c>
      <c r="R5">
        <v>9800</v>
      </c>
      <c r="S5">
        <v>0</v>
      </c>
      <c r="T5">
        <v>382</v>
      </c>
      <c r="U5">
        <v>490</v>
      </c>
      <c r="V5">
        <v>10672</v>
      </c>
      <c r="W5">
        <v>199</v>
      </c>
      <c r="X5">
        <v>10473</v>
      </c>
      <c r="Y5">
        <v>0</v>
      </c>
      <c r="Z5" t="s">
        <v>99</v>
      </c>
      <c r="AA5" t="s">
        <v>141</v>
      </c>
      <c r="AB5" t="s">
        <v>174</v>
      </c>
      <c r="AC5">
        <v>7582416</v>
      </c>
      <c r="AD5" t="s">
        <v>143</v>
      </c>
      <c r="AE5" t="s">
        <v>115</v>
      </c>
      <c r="AF5" t="s">
        <v>102</v>
      </c>
      <c r="AG5" t="s">
        <v>143</v>
      </c>
      <c r="AH5" t="s">
        <v>164</v>
      </c>
      <c r="AI5" t="s">
        <v>175</v>
      </c>
      <c r="AJ5" t="s">
        <v>1333</v>
      </c>
      <c r="AK5">
        <v>44715674</v>
      </c>
      <c r="AL5" t="s">
        <v>92</v>
      </c>
      <c r="AM5" t="s">
        <v>165</v>
      </c>
      <c r="AN5">
        <v>1000</v>
      </c>
      <c r="AO5">
        <v>0</v>
      </c>
      <c r="AQ5" t="s">
        <v>105</v>
      </c>
      <c r="AR5" t="s">
        <v>106</v>
      </c>
      <c r="AS5" t="s">
        <v>147</v>
      </c>
      <c r="AT5" t="s">
        <v>125</v>
      </c>
      <c r="AU5" t="s">
        <v>172</v>
      </c>
      <c r="AV5" t="s">
        <v>172</v>
      </c>
      <c r="AW5" t="s">
        <v>148</v>
      </c>
      <c r="AX5" t="s">
        <v>109</v>
      </c>
      <c r="AY5">
        <v>996425</v>
      </c>
      <c r="AZ5" t="s">
        <v>176</v>
      </c>
      <c r="BA5" t="s">
        <v>150</v>
      </c>
      <c r="BB5" t="s">
        <v>151</v>
      </c>
      <c r="BC5">
        <v>490</v>
      </c>
      <c r="BD5">
        <v>0</v>
      </c>
      <c r="BE5">
        <v>0</v>
      </c>
      <c r="BF5">
        <v>0.31573430000000002</v>
      </c>
      <c r="BJ5" t="s">
        <v>426</v>
      </c>
      <c r="BK5" t="s">
        <v>97</v>
      </c>
      <c r="BR5" t="s">
        <v>154</v>
      </c>
      <c r="BS5" t="s">
        <v>147</v>
      </c>
      <c r="BV5" t="s">
        <v>180</v>
      </c>
      <c r="BY5" t="s">
        <v>1334</v>
      </c>
      <c r="BZ5" t="s">
        <v>1335</v>
      </c>
      <c r="CA5" t="s">
        <v>177</v>
      </c>
    </row>
    <row r="6" spans="1:80" x14ac:dyDescent="0.3">
      <c r="A6" t="s">
        <v>1336</v>
      </c>
      <c r="B6" t="s">
        <v>1095</v>
      </c>
      <c r="C6" t="s">
        <v>1332</v>
      </c>
      <c r="D6" t="s">
        <v>158</v>
      </c>
      <c r="E6" t="s">
        <v>131</v>
      </c>
      <c r="F6" t="s">
        <v>116</v>
      </c>
      <c r="G6" t="s">
        <v>159</v>
      </c>
      <c r="H6" t="s">
        <v>160</v>
      </c>
      <c r="I6" t="s">
        <v>134</v>
      </c>
      <c r="J6" t="s">
        <v>134</v>
      </c>
      <c r="L6" t="s">
        <v>135</v>
      </c>
      <c r="M6" t="s">
        <v>136</v>
      </c>
      <c r="N6" t="s">
        <v>122</v>
      </c>
      <c r="O6" t="s">
        <v>137</v>
      </c>
      <c r="P6" t="s">
        <v>96</v>
      </c>
      <c r="Q6" t="s">
        <v>161</v>
      </c>
      <c r="R6">
        <v>17160</v>
      </c>
      <c r="S6">
        <v>0</v>
      </c>
      <c r="T6">
        <v>1432</v>
      </c>
      <c r="U6">
        <v>858</v>
      </c>
      <c r="V6">
        <v>19450</v>
      </c>
      <c r="W6">
        <v>199</v>
      </c>
      <c r="X6">
        <v>19251</v>
      </c>
      <c r="Y6">
        <v>0</v>
      </c>
      <c r="Z6" t="s">
        <v>99</v>
      </c>
      <c r="AA6" t="s">
        <v>141</v>
      </c>
      <c r="AB6" t="s">
        <v>163</v>
      </c>
      <c r="AC6">
        <v>7582416</v>
      </c>
      <c r="AD6" t="s">
        <v>143</v>
      </c>
      <c r="AE6" t="s">
        <v>115</v>
      </c>
      <c r="AF6" t="s">
        <v>102</v>
      </c>
      <c r="AG6" t="s">
        <v>143</v>
      </c>
      <c r="AH6" t="s">
        <v>164</v>
      </c>
      <c r="AI6" t="s">
        <v>145</v>
      </c>
      <c r="AJ6" t="s">
        <v>1337</v>
      </c>
      <c r="AK6">
        <v>44715674</v>
      </c>
      <c r="AL6" t="s">
        <v>92</v>
      </c>
      <c r="AM6" t="s">
        <v>165</v>
      </c>
      <c r="AN6">
        <v>800</v>
      </c>
      <c r="AO6">
        <v>0</v>
      </c>
      <c r="AQ6" t="s">
        <v>105</v>
      </c>
      <c r="AR6" t="s">
        <v>106</v>
      </c>
      <c r="AS6" t="s">
        <v>147</v>
      </c>
      <c r="AT6" t="s">
        <v>125</v>
      </c>
      <c r="AU6" t="s">
        <v>161</v>
      </c>
      <c r="AV6" t="s">
        <v>161</v>
      </c>
      <c r="AW6" t="s">
        <v>148</v>
      </c>
      <c r="AX6" t="s">
        <v>109</v>
      </c>
      <c r="AY6">
        <v>996425</v>
      </c>
      <c r="AZ6" t="s">
        <v>149</v>
      </c>
      <c r="BA6" t="s">
        <v>150</v>
      </c>
      <c r="BB6" t="s">
        <v>151</v>
      </c>
      <c r="BC6">
        <v>858</v>
      </c>
      <c r="BD6">
        <v>0</v>
      </c>
      <c r="BE6">
        <v>0</v>
      </c>
      <c r="BF6">
        <v>0.2952362</v>
      </c>
      <c r="BJ6" t="s">
        <v>426</v>
      </c>
      <c r="BK6" t="s">
        <v>97</v>
      </c>
      <c r="BR6" t="s">
        <v>154</v>
      </c>
      <c r="BS6" t="s">
        <v>147</v>
      </c>
      <c r="BV6" t="s">
        <v>166</v>
      </c>
      <c r="BY6" t="s">
        <v>1335</v>
      </c>
      <c r="BZ6" t="s">
        <v>1334</v>
      </c>
      <c r="CA6">
        <v>1858</v>
      </c>
    </row>
    <row r="7" spans="1:80" x14ac:dyDescent="0.3">
      <c r="A7" t="s">
        <v>1339</v>
      </c>
      <c r="B7" t="s">
        <v>831</v>
      </c>
      <c r="C7" t="s">
        <v>1340</v>
      </c>
      <c r="D7" t="s">
        <v>373</v>
      </c>
      <c r="E7" t="s">
        <v>121</v>
      </c>
      <c r="F7" t="s">
        <v>93</v>
      </c>
      <c r="G7" t="s">
        <v>356</v>
      </c>
      <c r="H7" t="s">
        <v>357</v>
      </c>
      <c r="J7" t="s">
        <v>358</v>
      </c>
      <c r="L7" t="s">
        <v>374</v>
      </c>
      <c r="M7" t="s">
        <v>205</v>
      </c>
      <c r="N7" t="s">
        <v>375</v>
      </c>
      <c r="O7" t="s">
        <v>376</v>
      </c>
      <c r="P7" t="s">
        <v>96</v>
      </c>
      <c r="Q7" t="s">
        <v>377</v>
      </c>
      <c r="R7">
        <v>7760</v>
      </c>
      <c r="S7">
        <v>0</v>
      </c>
      <c r="T7">
        <v>378</v>
      </c>
      <c r="U7">
        <v>388</v>
      </c>
      <c r="V7">
        <v>8526</v>
      </c>
      <c r="W7">
        <v>198</v>
      </c>
      <c r="X7">
        <v>8328</v>
      </c>
      <c r="Y7">
        <v>0</v>
      </c>
      <c r="Z7" t="s">
        <v>99</v>
      </c>
      <c r="AA7" t="s">
        <v>141</v>
      </c>
      <c r="AB7" t="s">
        <v>378</v>
      </c>
      <c r="AC7">
        <v>3937212</v>
      </c>
      <c r="AD7" t="s">
        <v>364</v>
      </c>
      <c r="AE7" t="s">
        <v>115</v>
      </c>
      <c r="AF7" t="s">
        <v>102</v>
      </c>
      <c r="AG7" t="s">
        <v>195</v>
      </c>
      <c r="AH7" t="s">
        <v>365</v>
      </c>
      <c r="AI7" t="s">
        <v>379</v>
      </c>
      <c r="AJ7" t="s">
        <v>1341</v>
      </c>
      <c r="AK7">
        <v>44725527</v>
      </c>
      <c r="AL7" t="s">
        <v>293</v>
      </c>
      <c r="AM7" t="s">
        <v>366</v>
      </c>
      <c r="AN7">
        <v>699</v>
      </c>
      <c r="AO7">
        <v>0</v>
      </c>
      <c r="AQ7" t="s">
        <v>105</v>
      </c>
      <c r="AR7" t="s">
        <v>106</v>
      </c>
      <c r="AS7" t="s">
        <v>222</v>
      </c>
      <c r="AT7" t="s">
        <v>108</v>
      </c>
      <c r="AU7" t="s">
        <v>377</v>
      </c>
      <c r="AV7" t="s">
        <v>377</v>
      </c>
      <c r="AW7" t="s">
        <v>148</v>
      </c>
      <c r="AX7" t="s">
        <v>109</v>
      </c>
      <c r="AY7">
        <v>996425</v>
      </c>
      <c r="AZ7" t="s">
        <v>189</v>
      </c>
      <c r="BA7" t="s">
        <v>369</v>
      </c>
      <c r="BB7" t="s">
        <v>357</v>
      </c>
      <c r="BC7">
        <v>388</v>
      </c>
      <c r="BD7">
        <v>0</v>
      </c>
      <c r="BE7">
        <v>0</v>
      </c>
      <c r="BF7">
        <v>0.27966400000000002</v>
      </c>
      <c r="BJ7" t="s">
        <v>361</v>
      </c>
      <c r="BK7" t="s">
        <v>97</v>
      </c>
      <c r="BR7" t="s">
        <v>154</v>
      </c>
      <c r="BS7" t="s">
        <v>222</v>
      </c>
      <c r="BV7" t="s">
        <v>381</v>
      </c>
      <c r="BY7" t="s">
        <v>1334</v>
      </c>
      <c r="BZ7" t="s">
        <v>1338</v>
      </c>
      <c r="CA7">
        <v>1760</v>
      </c>
    </row>
    <row r="8" spans="1:80" x14ac:dyDescent="0.3">
      <c r="A8" t="s">
        <v>1342</v>
      </c>
      <c r="B8" t="s">
        <v>820</v>
      </c>
      <c r="C8" t="s">
        <v>1343</v>
      </c>
      <c r="D8" t="s">
        <v>284</v>
      </c>
      <c r="E8" t="s">
        <v>268</v>
      </c>
      <c r="F8" t="s">
        <v>93</v>
      </c>
      <c r="G8" t="s">
        <v>269</v>
      </c>
      <c r="H8" t="s">
        <v>270</v>
      </c>
      <c r="I8">
        <v>3701618</v>
      </c>
      <c r="J8" t="s">
        <v>271</v>
      </c>
      <c r="L8" t="s">
        <v>285</v>
      </c>
      <c r="M8" t="s">
        <v>286</v>
      </c>
      <c r="N8" t="s">
        <v>122</v>
      </c>
      <c r="O8" t="s">
        <v>287</v>
      </c>
      <c r="P8" t="s">
        <v>96</v>
      </c>
      <c r="Q8" t="s">
        <v>288</v>
      </c>
      <c r="R8">
        <v>7920</v>
      </c>
      <c r="S8">
        <v>0</v>
      </c>
      <c r="T8">
        <v>967</v>
      </c>
      <c r="U8">
        <v>396</v>
      </c>
      <c r="V8">
        <v>9283</v>
      </c>
      <c r="W8">
        <v>199</v>
      </c>
      <c r="X8">
        <v>9084</v>
      </c>
      <c r="Y8">
        <v>0</v>
      </c>
      <c r="Z8" t="s">
        <v>99</v>
      </c>
      <c r="AA8" t="s">
        <v>141</v>
      </c>
      <c r="AB8" t="s">
        <v>289</v>
      </c>
      <c r="AC8">
        <v>1388000</v>
      </c>
      <c r="AD8" t="s">
        <v>278</v>
      </c>
      <c r="AE8" t="s">
        <v>115</v>
      </c>
      <c r="AF8" t="s">
        <v>102</v>
      </c>
      <c r="AG8" t="s">
        <v>112</v>
      </c>
      <c r="AH8" t="s">
        <v>279</v>
      </c>
      <c r="AI8" t="s">
        <v>201</v>
      </c>
      <c r="AJ8" t="s">
        <v>1344</v>
      </c>
      <c r="AK8">
        <v>44739307</v>
      </c>
      <c r="AL8" t="s">
        <v>114</v>
      </c>
      <c r="AM8" t="s">
        <v>247</v>
      </c>
      <c r="AN8">
        <v>800</v>
      </c>
      <c r="AO8">
        <v>0</v>
      </c>
      <c r="AQ8" t="s">
        <v>105</v>
      </c>
      <c r="AR8" t="s">
        <v>106</v>
      </c>
      <c r="AS8" t="s">
        <v>222</v>
      </c>
      <c r="AT8" t="s">
        <v>108</v>
      </c>
      <c r="AU8" t="s">
        <v>288</v>
      </c>
      <c r="AV8" t="s">
        <v>288</v>
      </c>
      <c r="AW8" t="s">
        <v>148</v>
      </c>
      <c r="AX8" t="s">
        <v>109</v>
      </c>
      <c r="AY8">
        <v>996425</v>
      </c>
      <c r="AZ8" t="s">
        <v>244</v>
      </c>
      <c r="BA8" t="s">
        <v>280</v>
      </c>
      <c r="BB8" t="s">
        <v>270</v>
      </c>
      <c r="BC8">
        <v>396</v>
      </c>
      <c r="BD8">
        <v>0</v>
      </c>
      <c r="BE8">
        <v>0</v>
      </c>
      <c r="BF8">
        <v>0.26456849999999998</v>
      </c>
      <c r="BJ8" t="s">
        <v>280</v>
      </c>
      <c r="BK8" t="s">
        <v>97</v>
      </c>
      <c r="BR8" t="s">
        <v>154</v>
      </c>
      <c r="BS8" t="s">
        <v>222</v>
      </c>
      <c r="BV8" t="s">
        <v>292</v>
      </c>
      <c r="BY8" t="s">
        <v>1345</v>
      </c>
      <c r="BZ8" t="s">
        <v>1329</v>
      </c>
      <c r="CA8">
        <v>1665</v>
      </c>
    </row>
    <row r="9" spans="1:80" x14ac:dyDescent="0.3">
      <c r="A9" t="s">
        <v>1346</v>
      </c>
      <c r="B9" t="s">
        <v>820</v>
      </c>
      <c r="C9" t="s">
        <v>1343</v>
      </c>
      <c r="D9" t="s">
        <v>267</v>
      </c>
      <c r="E9" t="s">
        <v>268</v>
      </c>
      <c r="F9" t="s">
        <v>93</v>
      </c>
      <c r="G9" t="s">
        <v>269</v>
      </c>
      <c r="H9" t="s">
        <v>270</v>
      </c>
      <c r="I9">
        <v>3701618</v>
      </c>
      <c r="J9" t="s">
        <v>271</v>
      </c>
      <c r="L9" t="s">
        <v>272</v>
      </c>
      <c r="M9" t="s">
        <v>273</v>
      </c>
      <c r="N9" t="s">
        <v>122</v>
      </c>
      <c r="O9" t="s">
        <v>274</v>
      </c>
      <c r="P9" t="s">
        <v>96</v>
      </c>
      <c r="Q9" t="s">
        <v>275</v>
      </c>
      <c r="R9">
        <v>7920</v>
      </c>
      <c r="S9">
        <v>0</v>
      </c>
      <c r="T9">
        <v>440</v>
      </c>
      <c r="U9">
        <v>396</v>
      </c>
      <c r="V9">
        <v>8756</v>
      </c>
      <c r="W9">
        <v>199</v>
      </c>
      <c r="X9">
        <v>8557</v>
      </c>
      <c r="Y9">
        <v>0</v>
      </c>
      <c r="Z9" t="s">
        <v>99</v>
      </c>
      <c r="AA9" t="s">
        <v>141</v>
      </c>
      <c r="AB9" t="s">
        <v>277</v>
      </c>
      <c r="AC9">
        <v>1388000</v>
      </c>
      <c r="AD9" t="s">
        <v>278</v>
      </c>
      <c r="AE9" t="s">
        <v>115</v>
      </c>
      <c r="AF9" t="s">
        <v>102</v>
      </c>
      <c r="AG9" t="s">
        <v>112</v>
      </c>
      <c r="AH9" t="s">
        <v>279</v>
      </c>
      <c r="AI9" t="s">
        <v>201</v>
      </c>
      <c r="AJ9" t="s">
        <v>1344</v>
      </c>
      <c r="AK9">
        <v>44739307</v>
      </c>
      <c r="AL9" t="s">
        <v>114</v>
      </c>
      <c r="AM9" t="s">
        <v>247</v>
      </c>
      <c r="AN9">
        <v>800</v>
      </c>
      <c r="AO9">
        <v>0</v>
      </c>
      <c r="AQ9" t="s">
        <v>105</v>
      </c>
      <c r="AR9" t="s">
        <v>106</v>
      </c>
      <c r="AS9" t="s">
        <v>222</v>
      </c>
      <c r="AT9" t="s">
        <v>108</v>
      </c>
      <c r="AU9" t="s">
        <v>275</v>
      </c>
      <c r="AV9" t="s">
        <v>275</v>
      </c>
      <c r="AW9" t="s">
        <v>148</v>
      </c>
      <c r="AX9" t="s">
        <v>109</v>
      </c>
      <c r="AY9">
        <v>996425</v>
      </c>
      <c r="AZ9" t="s">
        <v>244</v>
      </c>
      <c r="BA9" t="s">
        <v>280</v>
      </c>
      <c r="BB9" t="s">
        <v>270</v>
      </c>
      <c r="BC9">
        <v>396</v>
      </c>
      <c r="BD9">
        <v>0</v>
      </c>
      <c r="BE9">
        <v>0</v>
      </c>
      <c r="BF9">
        <v>0.26456849999999998</v>
      </c>
      <c r="BJ9" t="s">
        <v>280</v>
      </c>
      <c r="BK9" t="s">
        <v>97</v>
      </c>
      <c r="BR9" t="s">
        <v>154</v>
      </c>
      <c r="BS9" t="s">
        <v>222</v>
      </c>
      <c r="BV9" t="s">
        <v>283</v>
      </c>
      <c r="BY9" t="s">
        <v>1329</v>
      </c>
      <c r="BZ9" t="s">
        <v>1345</v>
      </c>
      <c r="CA9">
        <v>1665</v>
      </c>
    </row>
    <row r="10" spans="1:80" x14ac:dyDescent="0.3">
      <c r="A10" t="s">
        <v>1347</v>
      </c>
      <c r="B10" t="s">
        <v>820</v>
      </c>
      <c r="C10" t="s">
        <v>1348</v>
      </c>
      <c r="D10" t="s">
        <v>416</v>
      </c>
      <c r="E10" t="s">
        <v>210</v>
      </c>
      <c r="F10" t="s">
        <v>93</v>
      </c>
      <c r="G10" t="s">
        <v>215</v>
      </c>
      <c r="H10" t="s">
        <v>224</v>
      </c>
      <c r="I10">
        <v>3701618</v>
      </c>
      <c r="J10" t="s">
        <v>213</v>
      </c>
      <c r="L10" t="s">
        <v>417</v>
      </c>
      <c r="M10" t="s">
        <v>286</v>
      </c>
      <c r="N10" t="s">
        <v>95</v>
      </c>
      <c r="O10" t="s">
        <v>418</v>
      </c>
      <c r="P10" t="s">
        <v>96</v>
      </c>
      <c r="Q10">
        <v>5808907262</v>
      </c>
      <c r="R10">
        <v>7840</v>
      </c>
      <c r="S10">
        <v>0</v>
      </c>
      <c r="T10">
        <v>967</v>
      </c>
      <c r="U10">
        <v>392</v>
      </c>
      <c r="V10">
        <v>9199</v>
      </c>
      <c r="W10">
        <v>249</v>
      </c>
      <c r="X10">
        <v>8950</v>
      </c>
      <c r="Y10">
        <v>0</v>
      </c>
      <c r="Z10" t="s">
        <v>99</v>
      </c>
      <c r="AA10" t="s">
        <v>141</v>
      </c>
      <c r="AB10" t="s">
        <v>420</v>
      </c>
      <c r="AC10">
        <v>1388087</v>
      </c>
      <c r="AD10" t="s">
        <v>421</v>
      </c>
      <c r="AE10" t="s">
        <v>115</v>
      </c>
      <c r="AF10" t="s">
        <v>102</v>
      </c>
      <c r="AG10" t="s">
        <v>196</v>
      </c>
      <c r="AH10" t="s">
        <v>422</v>
      </c>
      <c r="AI10" t="s">
        <v>264</v>
      </c>
      <c r="AJ10" t="s">
        <v>1349</v>
      </c>
      <c r="AK10">
        <v>44798324</v>
      </c>
      <c r="AL10" t="s">
        <v>404</v>
      </c>
      <c r="AM10" t="s">
        <v>423</v>
      </c>
      <c r="AN10">
        <v>749</v>
      </c>
      <c r="AO10">
        <v>170</v>
      </c>
      <c r="AQ10" t="s">
        <v>105</v>
      </c>
      <c r="AR10" t="s">
        <v>106</v>
      </c>
      <c r="AS10" t="s">
        <v>222</v>
      </c>
      <c r="AT10" t="s">
        <v>108</v>
      </c>
      <c r="AU10" t="s">
        <v>1350</v>
      </c>
      <c r="AV10" t="s">
        <v>425</v>
      </c>
      <c r="AW10" t="s">
        <v>148</v>
      </c>
      <c r="AX10" t="s">
        <v>109</v>
      </c>
      <c r="AY10">
        <v>996425</v>
      </c>
      <c r="AZ10" t="s">
        <v>245</v>
      </c>
      <c r="BA10" t="s">
        <v>426</v>
      </c>
      <c r="BB10" t="s">
        <v>156</v>
      </c>
      <c r="BC10">
        <v>0</v>
      </c>
      <c r="BD10">
        <v>0</v>
      </c>
      <c r="BE10">
        <v>0</v>
      </c>
      <c r="BF10">
        <v>0.26456849999999998</v>
      </c>
      <c r="BJ10" t="s">
        <v>280</v>
      </c>
      <c r="BK10" t="s">
        <v>97</v>
      </c>
      <c r="BR10" t="s">
        <v>154</v>
      </c>
      <c r="BS10" t="s">
        <v>222</v>
      </c>
      <c r="BV10" t="s">
        <v>428</v>
      </c>
      <c r="BY10" t="s">
        <v>1345</v>
      </c>
      <c r="BZ10" t="s">
        <v>1329</v>
      </c>
      <c r="CA10">
        <v>1665</v>
      </c>
    </row>
    <row r="11" spans="1:80" x14ac:dyDescent="0.3">
      <c r="A11" t="s">
        <v>1351</v>
      </c>
      <c r="B11" t="s">
        <v>843</v>
      </c>
      <c r="C11" t="s">
        <v>1352</v>
      </c>
      <c r="D11" t="s">
        <v>450</v>
      </c>
      <c r="E11" t="s">
        <v>268</v>
      </c>
      <c r="F11" t="s">
        <v>93</v>
      </c>
      <c r="G11" t="s">
        <v>269</v>
      </c>
      <c r="H11" t="s">
        <v>270</v>
      </c>
      <c r="I11">
        <v>3701618</v>
      </c>
      <c r="J11" t="s">
        <v>271</v>
      </c>
      <c r="L11" t="s">
        <v>451</v>
      </c>
      <c r="M11" t="s">
        <v>295</v>
      </c>
      <c r="N11" t="s">
        <v>122</v>
      </c>
      <c r="O11" t="s">
        <v>452</v>
      </c>
      <c r="P11" t="s">
        <v>96</v>
      </c>
      <c r="Q11" t="s">
        <v>453</v>
      </c>
      <c r="R11">
        <v>7560</v>
      </c>
      <c r="S11">
        <v>0</v>
      </c>
      <c r="T11">
        <v>485</v>
      </c>
      <c r="U11">
        <v>378</v>
      </c>
      <c r="V11">
        <v>8423</v>
      </c>
      <c r="W11">
        <v>199</v>
      </c>
      <c r="X11">
        <v>8224</v>
      </c>
      <c r="Y11">
        <v>0</v>
      </c>
      <c r="Z11" t="s">
        <v>99</v>
      </c>
      <c r="AA11" t="s">
        <v>141</v>
      </c>
      <c r="AB11" t="s">
        <v>454</v>
      </c>
      <c r="AC11">
        <v>1388000</v>
      </c>
      <c r="AD11" t="s">
        <v>278</v>
      </c>
      <c r="AE11" t="s">
        <v>115</v>
      </c>
      <c r="AF11" t="s">
        <v>102</v>
      </c>
      <c r="AG11" t="s">
        <v>112</v>
      </c>
      <c r="AH11" t="s">
        <v>279</v>
      </c>
      <c r="AI11" t="s">
        <v>129</v>
      </c>
      <c r="AJ11" t="s">
        <v>1353</v>
      </c>
      <c r="AK11">
        <v>44809720</v>
      </c>
      <c r="AL11" t="s">
        <v>404</v>
      </c>
      <c r="AM11" t="s">
        <v>455</v>
      </c>
      <c r="AN11">
        <v>600</v>
      </c>
      <c r="AO11">
        <v>0</v>
      </c>
      <c r="AQ11" t="s">
        <v>105</v>
      </c>
      <c r="AR11" t="s">
        <v>106</v>
      </c>
      <c r="AS11" t="s">
        <v>222</v>
      </c>
      <c r="AT11" t="s">
        <v>108</v>
      </c>
      <c r="AU11" t="s">
        <v>453</v>
      </c>
      <c r="AV11" t="s">
        <v>453</v>
      </c>
      <c r="AW11" t="s">
        <v>148</v>
      </c>
      <c r="AX11" t="s">
        <v>109</v>
      </c>
      <c r="AY11">
        <v>996425</v>
      </c>
      <c r="AZ11" t="s">
        <v>198</v>
      </c>
      <c r="BA11" t="s">
        <v>280</v>
      </c>
      <c r="BB11" t="s">
        <v>270</v>
      </c>
      <c r="BC11">
        <v>378</v>
      </c>
      <c r="BD11">
        <v>0</v>
      </c>
      <c r="BE11">
        <v>0</v>
      </c>
      <c r="BF11">
        <v>0.18098710000000001</v>
      </c>
      <c r="BJ11" t="s">
        <v>280</v>
      </c>
      <c r="BK11" t="s">
        <v>97</v>
      </c>
      <c r="BR11" t="s">
        <v>154</v>
      </c>
      <c r="BS11" t="s">
        <v>222</v>
      </c>
      <c r="BV11" t="s">
        <v>457</v>
      </c>
      <c r="BY11" t="s">
        <v>1334</v>
      </c>
      <c r="BZ11" t="s">
        <v>1329</v>
      </c>
      <c r="CA11">
        <v>1139</v>
      </c>
    </row>
    <row r="12" spans="1:80" x14ac:dyDescent="0.3">
      <c r="A12" t="s">
        <v>1354</v>
      </c>
      <c r="B12" t="s">
        <v>1040</v>
      </c>
      <c r="C12" t="s">
        <v>1355</v>
      </c>
      <c r="D12" t="s">
        <v>583</v>
      </c>
      <c r="E12" t="s">
        <v>121</v>
      </c>
      <c r="F12" t="s">
        <v>93</v>
      </c>
      <c r="G12" t="s">
        <v>584</v>
      </c>
      <c r="H12" t="s">
        <v>585</v>
      </c>
      <c r="J12" t="s">
        <v>586</v>
      </c>
      <c r="L12" t="s">
        <v>587</v>
      </c>
      <c r="M12" t="s">
        <v>448</v>
      </c>
      <c r="N12" t="s">
        <v>122</v>
      </c>
      <c r="O12" t="s">
        <v>588</v>
      </c>
      <c r="P12" t="s">
        <v>96</v>
      </c>
      <c r="Q12" t="s">
        <v>589</v>
      </c>
      <c r="R12">
        <v>7800</v>
      </c>
      <c r="S12">
        <v>0</v>
      </c>
      <c r="T12">
        <v>805</v>
      </c>
      <c r="U12">
        <v>390</v>
      </c>
      <c r="V12">
        <v>8995</v>
      </c>
      <c r="W12">
        <v>199</v>
      </c>
      <c r="X12">
        <v>8796</v>
      </c>
      <c r="Y12">
        <v>0</v>
      </c>
      <c r="Z12" t="s">
        <v>99</v>
      </c>
      <c r="AA12" t="s">
        <v>141</v>
      </c>
      <c r="AB12" t="s">
        <v>590</v>
      </c>
      <c r="AC12">
        <v>5246483</v>
      </c>
      <c r="AD12" t="s">
        <v>200</v>
      </c>
      <c r="AE12" t="s">
        <v>115</v>
      </c>
      <c r="AF12" t="s">
        <v>102</v>
      </c>
      <c r="AG12" t="s">
        <v>256</v>
      </c>
      <c r="AH12" t="s">
        <v>591</v>
      </c>
      <c r="AI12" t="s">
        <v>127</v>
      </c>
      <c r="AJ12" t="s">
        <v>1356</v>
      </c>
      <c r="AK12">
        <v>44855536</v>
      </c>
      <c r="AL12" t="s">
        <v>436</v>
      </c>
      <c r="AM12" t="s">
        <v>592</v>
      </c>
      <c r="AN12">
        <v>600</v>
      </c>
      <c r="AO12">
        <v>0</v>
      </c>
      <c r="AQ12" t="s">
        <v>105</v>
      </c>
      <c r="AR12" t="s">
        <v>106</v>
      </c>
      <c r="AS12" t="s">
        <v>222</v>
      </c>
      <c r="AT12" t="s">
        <v>108</v>
      </c>
      <c r="AU12" t="s">
        <v>589</v>
      </c>
      <c r="AV12" t="s">
        <v>589</v>
      </c>
      <c r="AW12" t="s">
        <v>148</v>
      </c>
      <c r="AX12" t="s">
        <v>109</v>
      </c>
      <c r="AY12">
        <v>996425</v>
      </c>
      <c r="AZ12" t="s">
        <v>203</v>
      </c>
      <c r="BA12" t="s">
        <v>593</v>
      </c>
      <c r="BB12" t="s">
        <v>585</v>
      </c>
      <c r="BC12">
        <v>390</v>
      </c>
      <c r="BD12">
        <v>0</v>
      </c>
      <c r="BE12">
        <v>0</v>
      </c>
      <c r="BF12">
        <v>0.16430259999999999</v>
      </c>
      <c r="BJ12" t="s">
        <v>361</v>
      </c>
      <c r="BK12" t="s">
        <v>97</v>
      </c>
      <c r="BR12" t="s">
        <v>154</v>
      </c>
      <c r="BS12" t="s">
        <v>222</v>
      </c>
      <c r="BV12" t="s">
        <v>595</v>
      </c>
      <c r="BY12" t="s">
        <v>1338</v>
      </c>
      <c r="BZ12" t="s">
        <v>1329</v>
      </c>
      <c r="CA12">
        <v>1034</v>
      </c>
    </row>
    <row r="13" spans="1:80" x14ac:dyDescent="0.3">
      <c r="A13" t="s">
        <v>1357</v>
      </c>
      <c r="B13" t="s">
        <v>1040</v>
      </c>
      <c r="C13" t="s">
        <v>1355</v>
      </c>
      <c r="D13" t="s">
        <v>596</v>
      </c>
      <c r="E13" t="s">
        <v>121</v>
      </c>
      <c r="F13" t="s">
        <v>93</v>
      </c>
      <c r="G13" t="s">
        <v>584</v>
      </c>
      <c r="H13" t="s">
        <v>585</v>
      </c>
      <c r="J13" t="s">
        <v>586</v>
      </c>
      <c r="L13" t="s">
        <v>294</v>
      </c>
      <c r="M13" t="s">
        <v>597</v>
      </c>
      <c r="N13" t="s">
        <v>122</v>
      </c>
      <c r="O13" t="s">
        <v>598</v>
      </c>
      <c r="P13" t="s">
        <v>96</v>
      </c>
      <c r="Q13" t="s">
        <v>599</v>
      </c>
      <c r="R13">
        <v>8260</v>
      </c>
      <c r="S13">
        <v>0</v>
      </c>
      <c r="T13">
        <v>436</v>
      </c>
      <c r="U13">
        <v>413</v>
      </c>
      <c r="V13">
        <v>9109</v>
      </c>
      <c r="W13">
        <v>199</v>
      </c>
      <c r="X13">
        <v>8910</v>
      </c>
      <c r="Y13">
        <v>0</v>
      </c>
      <c r="Z13" t="s">
        <v>99</v>
      </c>
      <c r="AA13" t="s">
        <v>141</v>
      </c>
      <c r="AB13" t="s">
        <v>600</v>
      </c>
      <c r="AC13">
        <v>5246483</v>
      </c>
      <c r="AD13" t="s">
        <v>200</v>
      </c>
      <c r="AE13" t="s">
        <v>115</v>
      </c>
      <c r="AF13" t="s">
        <v>102</v>
      </c>
      <c r="AG13" t="s">
        <v>256</v>
      </c>
      <c r="AH13" t="s">
        <v>591</v>
      </c>
      <c r="AI13" t="s">
        <v>307</v>
      </c>
      <c r="AJ13" t="s">
        <v>1356</v>
      </c>
      <c r="AK13">
        <v>44855536</v>
      </c>
      <c r="AL13" t="s">
        <v>436</v>
      </c>
      <c r="AM13" t="s">
        <v>592</v>
      </c>
      <c r="AN13">
        <v>600</v>
      </c>
      <c r="AO13">
        <v>0</v>
      </c>
      <c r="AQ13" t="s">
        <v>105</v>
      </c>
      <c r="AR13" t="s">
        <v>106</v>
      </c>
      <c r="AS13" t="s">
        <v>222</v>
      </c>
      <c r="AT13" t="s">
        <v>108</v>
      </c>
      <c r="AU13" t="s">
        <v>599</v>
      </c>
      <c r="AV13" t="s">
        <v>599</v>
      </c>
      <c r="AW13" t="s">
        <v>148</v>
      </c>
      <c r="AX13" t="s">
        <v>109</v>
      </c>
      <c r="AY13">
        <v>996425</v>
      </c>
      <c r="AZ13" t="s">
        <v>206</v>
      </c>
      <c r="BA13" t="s">
        <v>593</v>
      </c>
      <c r="BB13" t="s">
        <v>585</v>
      </c>
      <c r="BC13">
        <v>413</v>
      </c>
      <c r="BD13">
        <v>0</v>
      </c>
      <c r="BE13">
        <v>0</v>
      </c>
      <c r="BF13">
        <v>0.16430259999999999</v>
      </c>
      <c r="BJ13" t="s">
        <v>361</v>
      </c>
      <c r="BK13" t="s">
        <v>97</v>
      </c>
      <c r="BR13" t="s">
        <v>154</v>
      </c>
      <c r="BS13" t="s">
        <v>222</v>
      </c>
      <c r="BV13" t="s">
        <v>603</v>
      </c>
      <c r="BY13" t="s">
        <v>1329</v>
      </c>
      <c r="BZ13" t="s">
        <v>1338</v>
      </c>
      <c r="CA13">
        <v>1034</v>
      </c>
    </row>
    <row r="14" spans="1:80" x14ac:dyDescent="0.3">
      <c r="A14" t="s">
        <v>1358</v>
      </c>
      <c r="B14" t="s">
        <v>842</v>
      </c>
      <c r="C14" t="s">
        <v>1359</v>
      </c>
      <c r="D14" t="s">
        <v>574</v>
      </c>
      <c r="E14" t="s">
        <v>121</v>
      </c>
      <c r="F14" t="s">
        <v>93</v>
      </c>
      <c r="G14" t="s">
        <v>558</v>
      </c>
      <c r="H14" t="s">
        <v>559</v>
      </c>
      <c r="I14">
        <v>3701618</v>
      </c>
      <c r="J14" t="s">
        <v>560</v>
      </c>
      <c r="L14" t="s">
        <v>575</v>
      </c>
      <c r="M14" t="s">
        <v>576</v>
      </c>
      <c r="N14" t="s">
        <v>122</v>
      </c>
      <c r="O14" t="s">
        <v>577</v>
      </c>
      <c r="P14" t="s">
        <v>96</v>
      </c>
      <c r="Q14" t="s">
        <v>578</v>
      </c>
      <c r="R14">
        <v>6780</v>
      </c>
      <c r="S14">
        <v>0</v>
      </c>
      <c r="T14">
        <v>1136</v>
      </c>
      <c r="U14">
        <v>339</v>
      </c>
      <c r="V14">
        <v>8255</v>
      </c>
      <c r="W14">
        <v>199</v>
      </c>
      <c r="X14">
        <v>8056</v>
      </c>
      <c r="Y14">
        <v>0</v>
      </c>
      <c r="Z14" t="s">
        <v>99</v>
      </c>
      <c r="AA14" t="s">
        <v>141</v>
      </c>
      <c r="AB14" t="s">
        <v>579</v>
      </c>
      <c r="AC14">
        <v>1388479</v>
      </c>
      <c r="AD14" t="s">
        <v>567</v>
      </c>
      <c r="AE14" t="s">
        <v>115</v>
      </c>
      <c r="AF14" t="s">
        <v>102</v>
      </c>
      <c r="AG14" t="s">
        <v>196</v>
      </c>
      <c r="AH14" t="s">
        <v>568</v>
      </c>
      <c r="AI14" t="s">
        <v>261</v>
      </c>
      <c r="AJ14" t="s">
        <v>1360</v>
      </c>
      <c r="AK14">
        <v>44856343</v>
      </c>
      <c r="AL14" t="s">
        <v>436</v>
      </c>
      <c r="AM14" t="s">
        <v>569</v>
      </c>
      <c r="AN14">
        <v>400</v>
      </c>
      <c r="AO14">
        <v>0</v>
      </c>
      <c r="AQ14" t="s">
        <v>105</v>
      </c>
      <c r="AR14" t="s">
        <v>106</v>
      </c>
      <c r="AS14" t="s">
        <v>222</v>
      </c>
      <c r="AT14" t="s">
        <v>108</v>
      </c>
      <c r="AU14" t="s">
        <v>578</v>
      </c>
      <c r="AV14" t="s">
        <v>578</v>
      </c>
      <c r="AW14" t="s">
        <v>148</v>
      </c>
      <c r="AX14" t="s">
        <v>109</v>
      </c>
      <c r="AY14">
        <v>996425</v>
      </c>
      <c r="AZ14" t="s">
        <v>383</v>
      </c>
      <c r="BA14" t="s">
        <v>570</v>
      </c>
      <c r="BB14" t="s">
        <v>559</v>
      </c>
      <c r="BC14">
        <v>339</v>
      </c>
      <c r="BD14">
        <v>0</v>
      </c>
      <c r="BE14">
        <v>0</v>
      </c>
      <c r="BF14">
        <v>0.1544508</v>
      </c>
      <c r="BJ14" t="s">
        <v>990</v>
      </c>
      <c r="BK14" t="s">
        <v>97</v>
      </c>
      <c r="BR14" t="s">
        <v>154</v>
      </c>
      <c r="BS14" t="s">
        <v>222</v>
      </c>
      <c r="BV14" t="s">
        <v>582</v>
      </c>
      <c r="BY14" t="s">
        <v>1361</v>
      </c>
      <c r="BZ14" t="s">
        <v>1329</v>
      </c>
      <c r="CA14">
        <v>972</v>
      </c>
    </row>
    <row r="15" spans="1:80" x14ac:dyDescent="0.3">
      <c r="A15" s="3" t="s">
        <v>802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>
        <f t="shared" ref="R15:Y15" si="0">SUM(R4:R14)</f>
        <v>105760</v>
      </c>
      <c r="S15" s="3">
        <f t="shared" si="0"/>
        <v>0</v>
      </c>
      <c r="T15" s="3">
        <f t="shared" si="0"/>
        <v>7872</v>
      </c>
      <c r="U15" s="3">
        <f t="shared" si="0"/>
        <v>5288</v>
      </c>
      <c r="V15" s="3">
        <f t="shared" si="0"/>
        <v>118920</v>
      </c>
      <c r="W15" s="3">
        <f t="shared" si="0"/>
        <v>2538</v>
      </c>
      <c r="X15" s="4">
        <f t="shared" si="0"/>
        <v>116382</v>
      </c>
      <c r="Y15" s="3">
        <f t="shared" si="0"/>
        <v>0</v>
      </c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</row>
  </sheetData>
  <sheetProtection formatCells="0" formatColumns="0" formatRows="0" insertColumns="0" insertRows="0" insertHyperlinks="0" deleteColumns="0" deleteRows="0" sort="0" autoFilter="0" pivotTables="0"/>
  <autoFilter ref="A3:CB15" xr:uid="{907A7F1A-90FA-4C0C-AE49-E7F1143A4A0D}"/>
  <pageMargins left="0.7" right="0.7" top="0.75" bottom="0.75" header="0.3" footer="0.3"/>
  <pageSetup orientation="portrait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294E4-4DB1-484B-9BEB-831A5B4D0C7B}">
  <dimension ref="A1:AR5"/>
  <sheetViews>
    <sheetView showRuler="0" zoomScaleNormal="100" workbookViewId="0">
      <selection activeCell="R4" sqref="R4"/>
    </sheetView>
  </sheetViews>
  <sheetFormatPr defaultRowHeight="14.4" x14ac:dyDescent="0.3"/>
  <cols>
    <col min="1" max="1" width="22" customWidth="1"/>
    <col min="2" max="2" width="25.88671875" customWidth="1"/>
    <col min="3" max="3" width="14" customWidth="1"/>
    <col min="4" max="4" width="16.44140625" customWidth="1"/>
    <col min="5" max="5" width="27" customWidth="1"/>
    <col min="6" max="6" width="11.6640625" customWidth="1"/>
    <col min="7" max="7" width="25.88671875" customWidth="1"/>
    <col min="8" max="8" width="16.44140625" customWidth="1"/>
    <col min="9" max="9" width="14" customWidth="1"/>
    <col min="10" max="10" width="12.88671875" customWidth="1"/>
    <col min="11" max="11" width="14" customWidth="1"/>
    <col min="12" max="12" width="51.88671875" customWidth="1"/>
    <col min="13" max="13" width="20" customWidth="1"/>
    <col min="14" max="14" width="7" customWidth="1"/>
    <col min="15" max="16" width="12.88671875" customWidth="1"/>
    <col min="17" max="17" width="15.33203125" customWidth="1"/>
    <col min="18" max="18" width="16.44140625" customWidth="1"/>
    <col min="19" max="19" width="18.6640625" customWidth="1"/>
    <col min="20" max="20" width="11.6640625" customWidth="1"/>
    <col min="21" max="21" width="36.44140625" customWidth="1"/>
    <col min="22" max="22" width="25.88671875" customWidth="1"/>
    <col min="23" max="23" width="16.44140625" customWidth="1"/>
    <col min="24" max="24" width="14" customWidth="1"/>
    <col min="25" max="25" width="27" customWidth="1"/>
    <col min="26" max="26" width="90.6640625" customWidth="1"/>
    <col min="27" max="27" width="14" customWidth="1"/>
    <col min="28" max="28" width="15.33203125" customWidth="1"/>
    <col min="29" max="29" width="37.6640625" customWidth="1"/>
    <col min="30" max="30" width="14" customWidth="1"/>
    <col min="31" max="31" width="9.33203125" customWidth="1"/>
    <col min="32" max="32" width="10.5546875" customWidth="1"/>
    <col min="33" max="33" width="4.5546875" customWidth="1"/>
    <col min="34" max="34" width="10.5546875" customWidth="1"/>
    <col min="35" max="35" width="7" customWidth="1"/>
    <col min="36" max="36" width="18.6640625" customWidth="1"/>
    <col min="37" max="37" width="14" customWidth="1"/>
    <col min="38" max="38" width="9.33203125" customWidth="1"/>
    <col min="39" max="39" width="10.5546875" customWidth="1"/>
    <col min="40" max="40" width="36.44140625" customWidth="1"/>
    <col min="41" max="41" width="35.21875" customWidth="1"/>
    <col min="42" max="42" width="22.21875" customWidth="1"/>
    <col min="43" max="43" width="18.6640625" customWidth="1"/>
    <col min="44" max="44" width="12.88671875" customWidth="1"/>
  </cols>
  <sheetData>
    <row r="1" spans="1:44" x14ac:dyDescent="0.3">
      <c r="A1" s="1" t="s">
        <v>1363</v>
      </c>
    </row>
    <row r="3" spans="1:44" x14ac:dyDescent="0.3">
      <c r="A3" s="2" t="s">
        <v>1303</v>
      </c>
      <c r="B3" s="2" t="s">
        <v>1304</v>
      </c>
      <c r="C3" s="2" t="s">
        <v>1362</v>
      </c>
      <c r="D3" s="2" t="s">
        <v>1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11</v>
      </c>
      <c r="L3" s="2" t="s">
        <v>12</v>
      </c>
      <c r="M3" s="2" t="s">
        <v>857</v>
      </c>
      <c r="N3" s="2" t="s">
        <v>15</v>
      </c>
      <c r="O3" s="2" t="s">
        <v>858</v>
      </c>
      <c r="P3" s="2" t="s">
        <v>21</v>
      </c>
      <c r="Q3" s="2" t="s">
        <v>1306</v>
      </c>
      <c r="R3" s="2" t="s">
        <v>1308</v>
      </c>
      <c r="S3" s="2" t="s">
        <v>1364</v>
      </c>
      <c r="T3" s="2" t="s">
        <v>28</v>
      </c>
      <c r="U3" s="2" t="s">
        <v>29</v>
      </c>
      <c r="V3" s="2" t="s">
        <v>30</v>
      </c>
      <c r="W3" s="2" t="s">
        <v>861</v>
      </c>
      <c r="X3" s="2" t="s">
        <v>40</v>
      </c>
      <c r="Y3" s="2" t="s">
        <v>41</v>
      </c>
      <c r="Z3" s="2" t="s">
        <v>45</v>
      </c>
      <c r="AA3" s="2" t="s">
        <v>862</v>
      </c>
      <c r="AB3" s="2" t="s">
        <v>863</v>
      </c>
      <c r="AC3" s="2" t="s">
        <v>43</v>
      </c>
      <c r="AD3" s="2" t="s">
        <v>864</v>
      </c>
      <c r="AE3" s="2" t="s">
        <v>56</v>
      </c>
      <c r="AF3" s="2" t="s">
        <v>35</v>
      </c>
      <c r="AG3" s="2" t="s">
        <v>865</v>
      </c>
      <c r="AH3" s="2" t="s">
        <v>72</v>
      </c>
      <c r="AI3" s="2" t="s">
        <v>70</v>
      </c>
      <c r="AJ3" s="2" t="s">
        <v>71</v>
      </c>
      <c r="AK3" s="2" t="s">
        <v>853</v>
      </c>
      <c r="AL3" s="2" t="s">
        <v>76</v>
      </c>
      <c r="AM3" s="2" t="s">
        <v>77</v>
      </c>
      <c r="AN3" s="2" t="s">
        <v>80</v>
      </c>
      <c r="AO3" s="2" t="s">
        <v>81</v>
      </c>
      <c r="AP3" s="2" t="s">
        <v>84</v>
      </c>
      <c r="AQ3" s="2" t="s">
        <v>879</v>
      </c>
      <c r="AR3" s="2" t="s">
        <v>85</v>
      </c>
    </row>
    <row r="4" spans="1:44" x14ac:dyDescent="0.3">
      <c r="A4" t="s">
        <v>1366</v>
      </c>
      <c r="B4" t="s">
        <v>293</v>
      </c>
      <c r="C4" t="s">
        <v>293</v>
      </c>
      <c r="D4" t="s">
        <v>1367</v>
      </c>
      <c r="E4" t="s">
        <v>336</v>
      </c>
      <c r="F4" t="s">
        <v>93</v>
      </c>
      <c r="G4" t="s">
        <v>777</v>
      </c>
      <c r="H4" t="s">
        <v>778</v>
      </c>
      <c r="J4" t="s">
        <v>339</v>
      </c>
      <c r="K4" t="s">
        <v>293</v>
      </c>
      <c r="L4" t="s">
        <v>900</v>
      </c>
      <c r="M4" t="s">
        <v>942</v>
      </c>
      <c r="N4" t="s">
        <v>889</v>
      </c>
      <c r="O4">
        <v>8252233853</v>
      </c>
      <c r="P4">
        <v>1144</v>
      </c>
      <c r="Q4">
        <v>149</v>
      </c>
      <c r="R4">
        <v>995</v>
      </c>
      <c r="S4">
        <v>0</v>
      </c>
      <c r="T4" t="s">
        <v>1365</v>
      </c>
      <c r="U4" t="s">
        <v>141</v>
      </c>
      <c r="V4" t="s">
        <v>1368</v>
      </c>
      <c r="W4" t="s">
        <v>524</v>
      </c>
      <c r="X4">
        <v>44666082</v>
      </c>
      <c r="Y4" t="s">
        <v>905</v>
      </c>
      <c r="Z4" t="s">
        <v>106</v>
      </c>
      <c r="AA4" t="s">
        <v>898</v>
      </c>
      <c r="AB4" t="s">
        <v>906</v>
      </c>
      <c r="AC4" t="s">
        <v>883</v>
      </c>
      <c r="AD4" t="s">
        <v>108</v>
      </c>
      <c r="AE4" t="s">
        <v>148</v>
      </c>
      <c r="AF4" t="s">
        <v>195</v>
      </c>
      <c r="AG4">
        <v>392</v>
      </c>
      <c r="AN4" t="s">
        <v>154</v>
      </c>
      <c r="AO4" t="s">
        <v>222</v>
      </c>
      <c r="AP4" t="s">
        <v>1369</v>
      </c>
      <c r="AQ4" t="s">
        <v>222</v>
      </c>
    </row>
    <row r="5" spans="1:44" x14ac:dyDescent="0.3">
      <c r="A5" s="3" t="s">
        <v>802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>
        <f>SUM(P4:P4)</f>
        <v>1144</v>
      </c>
      <c r="Q5" s="3">
        <f>SUM(Q4:Q4)</f>
        <v>149</v>
      </c>
      <c r="R5" s="4">
        <f>SUM(R4:R4)</f>
        <v>995</v>
      </c>
      <c r="S5" s="3">
        <f>SUM(S4:S4)</f>
        <v>0</v>
      </c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1BC41-F129-4F5B-A0C2-D6DABEE1FE19}">
  <dimension ref="A1:BP6"/>
  <sheetViews>
    <sheetView showRuler="0" topLeftCell="U1" zoomScaleNormal="100" workbookViewId="0">
      <selection activeCell="Z20" sqref="Z20"/>
    </sheetView>
  </sheetViews>
  <sheetFormatPr defaultRowHeight="14.4" x14ac:dyDescent="0.3"/>
  <cols>
    <col min="1" max="1" width="22" customWidth="1"/>
    <col min="2" max="2" width="27" customWidth="1"/>
    <col min="3" max="3" width="14" customWidth="1"/>
    <col min="4" max="4" width="16.44140625" customWidth="1"/>
    <col min="5" max="5" width="27" customWidth="1"/>
    <col min="6" max="6" width="25.88671875" customWidth="1"/>
    <col min="7" max="7" width="14" customWidth="1"/>
    <col min="8" max="8" width="29.44140625" customWidth="1"/>
    <col min="9" max="9" width="51.88671875" customWidth="1"/>
    <col min="10" max="10" width="14" customWidth="1"/>
    <col min="11" max="11" width="12.88671875" customWidth="1"/>
    <col min="12" max="13" width="27" customWidth="1"/>
    <col min="14" max="14" width="15.33203125" customWidth="1"/>
    <col min="15" max="15" width="16.44140625" customWidth="1"/>
    <col min="16" max="16" width="12.88671875" customWidth="1"/>
    <col min="17" max="17" width="17.5546875" customWidth="1"/>
    <col min="18" max="18" width="48.21875" customWidth="1"/>
    <col min="19" max="19" width="16.44140625" customWidth="1"/>
    <col min="20" max="20" width="33" customWidth="1"/>
    <col min="21" max="21" width="18.6640625" customWidth="1"/>
    <col min="22" max="22" width="11.6640625" customWidth="1"/>
    <col min="23" max="23" width="21.109375" customWidth="1"/>
    <col min="24" max="24" width="10.5546875" customWidth="1"/>
    <col min="25" max="25" width="27" customWidth="1"/>
    <col min="26" max="26" width="12.88671875" customWidth="1"/>
    <col min="27" max="28" width="17.5546875" customWidth="1"/>
    <col min="29" max="29" width="192.21875" customWidth="1"/>
    <col min="30" max="30" width="27" customWidth="1"/>
    <col min="31" max="31" width="9.33203125" customWidth="1"/>
    <col min="32" max="32" width="18.6640625" customWidth="1"/>
    <col min="33" max="33" width="9.33203125" customWidth="1"/>
    <col min="34" max="34" width="11.6640625" customWidth="1"/>
    <col min="35" max="35" width="33" customWidth="1"/>
    <col min="36" max="36" width="24.6640625" customWidth="1"/>
    <col min="37" max="37" width="10.5546875" customWidth="1"/>
    <col min="38" max="38" width="22.21875" customWidth="1"/>
    <col min="39" max="39" width="31.6640625" customWidth="1"/>
    <col min="40" max="40" width="20" customWidth="1"/>
    <col min="41" max="41" width="16.44140625" customWidth="1"/>
    <col min="42" max="42" width="30.5546875" customWidth="1"/>
    <col min="43" max="43" width="24.6640625" customWidth="1"/>
    <col min="44" max="44" width="21.109375" customWidth="1"/>
    <col min="45" max="45" width="23.44140625" customWidth="1"/>
    <col min="46" max="47" width="21.109375" customWidth="1"/>
    <col min="48" max="48" width="17.5546875" customWidth="1"/>
    <col min="49" max="49" width="21.109375" customWidth="1"/>
    <col min="50" max="50" width="22.21875" customWidth="1"/>
    <col min="51" max="51" width="24.6640625" customWidth="1"/>
    <col min="52" max="52" width="10.5546875" customWidth="1"/>
    <col min="53" max="53" width="15.33203125" customWidth="1"/>
    <col min="54" max="54" width="7" customWidth="1"/>
    <col min="55" max="55" width="18.6640625" customWidth="1"/>
    <col min="56" max="56" width="10.5546875" customWidth="1"/>
    <col min="57" max="57" width="14" customWidth="1"/>
    <col min="58" max="58" width="9.33203125" customWidth="1"/>
    <col min="59" max="59" width="10.5546875" customWidth="1"/>
    <col min="60" max="60" width="11.6640625" customWidth="1"/>
    <col min="61" max="61" width="20" customWidth="1"/>
    <col min="62" max="62" width="16.44140625" customWidth="1"/>
    <col min="63" max="63" width="29.44140625" customWidth="1"/>
    <col min="64" max="64" width="35.21875" customWidth="1"/>
    <col min="65" max="65" width="15.33203125" customWidth="1"/>
    <col min="66" max="66" width="14" customWidth="1"/>
    <col min="67" max="68" width="12.88671875" customWidth="1"/>
  </cols>
  <sheetData>
    <row r="1" spans="1:68" x14ac:dyDescent="0.3">
      <c r="A1" s="1" t="s">
        <v>1371</v>
      </c>
    </row>
    <row r="3" spans="1:68" x14ac:dyDescent="0.3">
      <c r="A3" s="2" t="s">
        <v>1303</v>
      </c>
      <c r="B3" s="2" t="s">
        <v>1304</v>
      </c>
      <c r="C3" s="2" t="s">
        <v>40</v>
      </c>
      <c r="D3" s="2" t="s">
        <v>1</v>
      </c>
      <c r="E3" s="2" t="s">
        <v>2</v>
      </c>
      <c r="F3" s="2" t="s">
        <v>30</v>
      </c>
      <c r="G3" s="2" t="s">
        <v>1053</v>
      </c>
      <c r="H3" s="2" t="s">
        <v>1054</v>
      </c>
      <c r="I3" s="2" t="s">
        <v>32</v>
      </c>
      <c r="J3" s="2" t="s">
        <v>8</v>
      </c>
      <c r="K3" s="2" t="s">
        <v>9</v>
      </c>
      <c r="L3" s="2" t="s">
        <v>1055</v>
      </c>
      <c r="M3" s="2" t="s">
        <v>1056</v>
      </c>
      <c r="N3" s="2" t="s">
        <v>1057</v>
      </c>
      <c r="O3" s="2" t="s">
        <v>1058</v>
      </c>
      <c r="P3" s="2" t="s">
        <v>1059</v>
      </c>
      <c r="Q3" s="2" t="s">
        <v>1060</v>
      </c>
      <c r="R3" s="2" t="s">
        <v>1061</v>
      </c>
      <c r="S3" s="2" t="s">
        <v>1308</v>
      </c>
      <c r="T3" s="2" t="s">
        <v>23</v>
      </c>
      <c r="U3" s="2" t="s">
        <v>24</v>
      </c>
      <c r="V3" s="2" t="s">
        <v>28</v>
      </c>
      <c r="W3" s="2" t="s">
        <v>29</v>
      </c>
      <c r="X3" s="2" t="s">
        <v>852</v>
      </c>
      <c r="Y3" s="2" t="s">
        <v>41</v>
      </c>
      <c r="Z3" s="2" t="s">
        <v>852</v>
      </c>
      <c r="AA3" s="2" t="s">
        <v>1072</v>
      </c>
      <c r="AB3" s="2" t="s">
        <v>1073</v>
      </c>
      <c r="AC3" s="2" t="s">
        <v>1074</v>
      </c>
      <c r="AD3" s="2" t="s">
        <v>1075</v>
      </c>
      <c r="AE3" s="2" t="s">
        <v>56</v>
      </c>
      <c r="AF3" s="2" t="s">
        <v>1076</v>
      </c>
      <c r="AG3" s="2" t="s">
        <v>57</v>
      </c>
      <c r="AH3" s="2" t="s">
        <v>1078</v>
      </c>
      <c r="AI3" s="2" t="s">
        <v>1079</v>
      </c>
      <c r="AJ3" s="2" t="s">
        <v>47</v>
      </c>
      <c r="AK3" s="2" t="s">
        <v>1080</v>
      </c>
      <c r="AL3" s="2" t="s">
        <v>4</v>
      </c>
      <c r="AM3" s="2" t="s">
        <v>1372</v>
      </c>
      <c r="AN3" s="2" t="s">
        <v>1373</v>
      </c>
      <c r="AO3" s="2" t="s">
        <v>1374</v>
      </c>
      <c r="AP3" s="2" t="s">
        <v>1375</v>
      </c>
      <c r="AQ3" s="2" t="s">
        <v>1376</v>
      </c>
      <c r="AR3" s="2" t="s">
        <v>1062</v>
      </c>
      <c r="AS3" s="2" t="s">
        <v>1063</v>
      </c>
      <c r="AT3" s="2" t="s">
        <v>1064</v>
      </c>
      <c r="AU3" s="2" t="s">
        <v>1065</v>
      </c>
      <c r="AV3" s="2" t="s">
        <v>1066</v>
      </c>
      <c r="AW3" s="2" t="s">
        <v>1067</v>
      </c>
      <c r="AX3" s="2" t="s">
        <v>1068</v>
      </c>
      <c r="AY3" s="2" t="s">
        <v>1069</v>
      </c>
      <c r="AZ3" s="2" t="s">
        <v>1070</v>
      </c>
      <c r="BA3" s="2" t="s">
        <v>1306</v>
      </c>
      <c r="BB3" s="2" t="s">
        <v>70</v>
      </c>
      <c r="BC3" s="2" t="s">
        <v>71</v>
      </c>
      <c r="BD3" s="2" t="s">
        <v>72</v>
      </c>
      <c r="BE3" s="2" t="s">
        <v>853</v>
      </c>
      <c r="BF3" s="2" t="s">
        <v>76</v>
      </c>
      <c r="BG3" s="2" t="s">
        <v>77</v>
      </c>
      <c r="BH3" s="2" t="s">
        <v>1370</v>
      </c>
      <c r="BI3" s="2" t="s">
        <v>1081</v>
      </c>
      <c r="BJ3" s="2" t="s">
        <v>78</v>
      </c>
      <c r="BK3" s="2" t="s">
        <v>80</v>
      </c>
      <c r="BL3" s="2" t="s">
        <v>81</v>
      </c>
      <c r="BM3" s="2" t="s">
        <v>1090</v>
      </c>
      <c r="BN3" s="2" t="s">
        <v>1077</v>
      </c>
      <c r="BO3" s="2" t="s">
        <v>1084</v>
      </c>
      <c r="BP3" s="2" t="s">
        <v>85</v>
      </c>
    </row>
    <row r="4" spans="1:68" x14ac:dyDescent="0.3">
      <c r="A4" t="s">
        <v>1379</v>
      </c>
      <c r="B4" t="s">
        <v>834</v>
      </c>
      <c r="C4">
        <v>44856343</v>
      </c>
      <c r="D4" t="s">
        <v>1189</v>
      </c>
      <c r="E4" t="s">
        <v>1040</v>
      </c>
      <c r="F4" t="s">
        <v>1190</v>
      </c>
      <c r="G4" t="s">
        <v>559</v>
      </c>
      <c r="H4" t="s">
        <v>1191</v>
      </c>
      <c r="I4" t="s">
        <v>567</v>
      </c>
      <c r="J4">
        <v>3701618</v>
      </c>
      <c r="K4" t="s">
        <v>560</v>
      </c>
      <c r="L4" t="s">
        <v>1164</v>
      </c>
      <c r="M4" t="s">
        <v>1192</v>
      </c>
      <c r="N4">
        <v>1</v>
      </c>
      <c r="O4">
        <v>2</v>
      </c>
      <c r="P4" t="s">
        <v>1157</v>
      </c>
      <c r="Q4" t="s">
        <v>262</v>
      </c>
      <c r="R4" t="s">
        <v>1193</v>
      </c>
      <c r="S4">
        <v>8081</v>
      </c>
      <c r="T4" t="s">
        <v>990</v>
      </c>
      <c r="U4" t="s">
        <v>97</v>
      </c>
      <c r="V4" t="s">
        <v>1365</v>
      </c>
      <c r="W4" t="s">
        <v>141</v>
      </c>
      <c r="X4" t="s">
        <v>106</v>
      </c>
      <c r="Y4" t="s">
        <v>827</v>
      </c>
      <c r="Z4" t="s">
        <v>106</v>
      </c>
      <c r="AA4">
        <v>7901</v>
      </c>
      <c r="AB4" t="s">
        <v>1377</v>
      </c>
      <c r="AC4" t="s">
        <v>1194</v>
      </c>
      <c r="AD4" t="s">
        <v>1195</v>
      </c>
      <c r="AE4" t="s">
        <v>148</v>
      </c>
      <c r="AF4" t="s">
        <v>147</v>
      </c>
      <c r="AG4" t="s">
        <v>109</v>
      </c>
      <c r="AH4" t="s">
        <v>196</v>
      </c>
      <c r="AI4" t="s">
        <v>990</v>
      </c>
      <c r="AK4" t="s">
        <v>1100</v>
      </c>
      <c r="AL4" t="s">
        <v>121</v>
      </c>
      <c r="AM4">
        <v>0</v>
      </c>
      <c r="AN4">
        <v>8081</v>
      </c>
      <c r="AO4" t="s">
        <v>1378</v>
      </c>
      <c r="AP4" t="s">
        <v>684</v>
      </c>
      <c r="AQ4">
        <v>0.05</v>
      </c>
      <c r="AR4">
        <v>8001</v>
      </c>
      <c r="AS4">
        <v>0</v>
      </c>
      <c r="AT4">
        <v>8001</v>
      </c>
      <c r="AU4">
        <v>400.05</v>
      </c>
      <c r="AV4">
        <v>0</v>
      </c>
      <c r="AW4">
        <v>400.05</v>
      </c>
      <c r="AX4">
        <v>0</v>
      </c>
      <c r="AY4">
        <v>0</v>
      </c>
      <c r="AZ4">
        <v>320</v>
      </c>
      <c r="BA4">
        <v>0.05</v>
      </c>
      <c r="BH4" t="s">
        <v>93</v>
      </c>
      <c r="BI4" t="s">
        <v>1196</v>
      </c>
      <c r="BK4" t="s">
        <v>154</v>
      </c>
      <c r="BL4" t="s">
        <v>147</v>
      </c>
      <c r="BN4" t="s">
        <v>334</v>
      </c>
      <c r="BO4" t="s">
        <v>1101</v>
      </c>
    </row>
    <row r="5" spans="1:68" x14ac:dyDescent="0.3">
      <c r="A5" t="s">
        <v>1380</v>
      </c>
      <c r="B5" t="s">
        <v>847</v>
      </c>
      <c r="C5">
        <v>45057696</v>
      </c>
      <c r="D5" t="s">
        <v>1295</v>
      </c>
      <c r="E5" t="s">
        <v>847</v>
      </c>
      <c r="F5" t="s">
        <v>1296</v>
      </c>
      <c r="G5" t="s">
        <v>608</v>
      </c>
      <c r="H5" t="s">
        <v>1214</v>
      </c>
      <c r="I5" t="s">
        <v>100</v>
      </c>
      <c r="K5" t="s">
        <v>339</v>
      </c>
      <c r="L5" t="s">
        <v>1192</v>
      </c>
      <c r="M5" t="s">
        <v>1297</v>
      </c>
      <c r="N5">
        <v>1</v>
      </c>
      <c r="O5">
        <v>2</v>
      </c>
      <c r="P5" t="s">
        <v>1116</v>
      </c>
      <c r="Q5" t="s">
        <v>260</v>
      </c>
      <c r="R5" t="s">
        <v>1298</v>
      </c>
      <c r="S5">
        <v>7879</v>
      </c>
      <c r="T5" t="s">
        <v>280</v>
      </c>
      <c r="U5" t="s">
        <v>97</v>
      </c>
      <c r="V5" t="s">
        <v>1365</v>
      </c>
      <c r="W5" t="s">
        <v>141</v>
      </c>
      <c r="X5" t="s">
        <v>106</v>
      </c>
      <c r="Y5" t="s">
        <v>847</v>
      </c>
      <c r="Z5" t="s">
        <v>106</v>
      </c>
      <c r="AA5">
        <v>7487</v>
      </c>
      <c r="AB5" t="s">
        <v>1377</v>
      </c>
      <c r="AC5" t="s">
        <v>1299</v>
      </c>
      <c r="AD5" t="s">
        <v>1300</v>
      </c>
      <c r="AE5" t="s">
        <v>148</v>
      </c>
      <c r="AF5" t="s">
        <v>147</v>
      </c>
      <c r="AG5" t="s">
        <v>109</v>
      </c>
      <c r="AH5" t="s">
        <v>103</v>
      </c>
      <c r="AI5" t="s">
        <v>280</v>
      </c>
      <c r="AK5" t="s">
        <v>1100</v>
      </c>
      <c r="AL5" t="s">
        <v>336</v>
      </c>
      <c r="AM5">
        <v>0</v>
      </c>
      <c r="AN5">
        <v>7879</v>
      </c>
      <c r="AO5" t="s">
        <v>1378</v>
      </c>
      <c r="AP5" t="s">
        <v>740</v>
      </c>
      <c r="AQ5">
        <v>0.18</v>
      </c>
      <c r="AR5">
        <v>7839.22</v>
      </c>
      <c r="AS5">
        <v>0</v>
      </c>
      <c r="AT5">
        <v>7839.22</v>
      </c>
      <c r="AU5">
        <v>391.96</v>
      </c>
      <c r="AV5">
        <v>0</v>
      </c>
      <c r="AW5">
        <v>391.96</v>
      </c>
      <c r="AX5">
        <v>0</v>
      </c>
      <c r="AY5">
        <v>0</v>
      </c>
      <c r="AZ5">
        <v>352</v>
      </c>
      <c r="BA5">
        <v>0.18</v>
      </c>
      <c r="BH5" t="s">
        <v>93</v>
      </c>
      <c r="BI5" t="s">
        <v>1301</v>
      </c>
      <c r="BK5" t="s">
        <v>154</v>
      </c>
      <c r="BL5" t="s">
        <v>147</v>
      </c>
      <c r="BN5" t="s">
        <v>334</v>
      </c>
      <c r="BO5" t="s">
        <v>1101</v>
      </c>
    </row>
    <row r="6" spans="1:68" x14ac:dyDescent="0.3">
      <c r="A6" s="3" t="s">
        <v>802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4">
        <f>SUM(S4:S5)</f>
        <v>15960</v>
      </c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DOMESTIC DEBIT</vt:lpstr>
      <vt:lpstr>MISCELLANEOUS DEBIT</vt:lpstr>
      <vt:lpstr>RAIL DEBIT</vt:lpstr>
      <vt:lpstr>BUS DEBIT</vt:lpstr>
      <vt:lpstr>HOTEL DEBIT</vt:lpstr>
      <vt:lpstr>Sheet1</vt:lpstr>
      <vt:lpstr>Working</vt:lpstr>
      <vt:lpstr>DOMESTIC CREDIT</vt:lpstr>
      <vt:lpstr>RAIL CREDIT</vt:lpstr>
      <vt:lpstr>HOTEL CREDIT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Test Document</dc:title>
  <dc:subject>Office 2007 XLSX Test Document</dc:subject>
  <dc:creator>Maarten Balliauw</dc:creator>
  <cp:keywords>office 2007 openxml php</cp:keywords>
  <dc:description>Test document for Office 2007 XLSX, generated using PHP classes.</dc:description>
  <cp:lastModifiedBy>TL ED</cp:lastModifiedBy>
  <dcterms:created xsi:type="dcterms:W3CDTF">2026-09-03T15:33:16Z</dcterms:created>
  <dcterms:modified xsi:type="dcterms:W3CDTF">2026-09-18T04:16:35Z</dcterms:modified>
  <cp:category>Test result file</cp:category>
</cp:coreProperties>
</file>